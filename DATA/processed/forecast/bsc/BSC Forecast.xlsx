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https://bscvn.sharepoint.com/sites/Teamnhmngnh/Shared Documents/General/"/>
    </mc:Choice>
  </mc:AlternateContent>
  <xr:revisionPtr revIDLastSave="1308" documentId="8_{A050D27D-7DD9-DD40-88AE-A6BE4F2D15A9}" xr6:coauthVersionLast="47" xr6:coauthVersionMax="47" xr10:uidLastSave="{6BAE15ED-314E-45CB-8FF2-7DB0097ACD44}"/>
  <bookViews>
    <workbookView xWindow="-96" yWindow="0" windowWidth="15552" windowHeight="18576" xr2:uid="{1DF53D6C-DE25-0640-ABF4-FC45B0EB208E}"/>
  </bookViews>
  <sheets>
    <sheet name="Sheet1" sheetId="1" r:id="rId1"/>
    <sheet name="DPKD" sheetId="3" r:id="rId2"/>
    <sheet name="Sheet2" sheetId="4" state="hidden" r:id="rId3"/>
  </sheets>
  <definedNames>
    <definedName name="_xlnm._FilterDatabase" localSheetId="0" hidden="1">Sheet1!$T$3:$U$22</definedName>
  </definedNames>
  <calcPr calcId="191028" iterate="1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6" i="1" l="1"/>
  <c r="G96" i="1"/>
  <c r="P7" i="1"/>
  <c r="P6" i="1"/>
  <c r="P5" i="1"/>
  <c r="P4" i="1"/>
  <c r="P3" i="1"/>
  <c r="S5" i="1"/>
  <c r="P12" i="1"/>
  <c r="S15" i="1"/>
  <c r="S7" i="1"/>
  <c r="P18" i="1"/>
  <c r="Q21" i="1"/>
  <c r="R21" i="1"/>
  <c r="S21" i="1"/>
  <c r="P21" i="1"/>
  <c r="Q20" i="1"/>
  <c r="R20" i="1"/>
  <c r="S20" i="1"/>
  <c r="P20" i="1"/>
  <c r="Q19" i="1"/>
  <c r="R19" i="1"/>
  <c r="S19" i="1"/>
  <c r="P19" i="1"/>
  <c r="Q18" i="1"/>
  <c r="T18" i="1" s="1"/>
  <c r="R18" i="1"/>
  <c r="S18" i="1"/>
  <c r="U18" i="1" s="1"/>
  <c r="Q17" i="1"/>
  <c r="R17" i="1"/>
  <c r="S17" i="1"/>
  <c r="P17" i="1"/>
  <c r="Q15" i="1"/>
  <c r="R15" i="1"/>
  <c r="G97" i="1" l="1"/>
  <c r="U20" i="1"/>
  <c r="U15" i="1"/>
  <c r="T20" i="1"/>
  <c r="U19" i="1"/>
  <c r="T19" i="1"/>
  <c r="U17" i="1"/>
  <c r="T17" i="1"/>
  <c r="U21" i="1"/>
  <c r="T21" i="1"/>
  <c r="P15" i="1"/>
  <c r="T15" i="1" s="1"/>
  <c r="Q14" i="1"/>
  <c r="R14" i="1"/>
  <c r="S14" i="1"/>
  <c r="P14" i="1"/>
  <c r="Q13" i="1"/>
  <c r="R13" i="1"/>
  <c r="S13" i="1"/>
  <c r="P13" i="1"/>
  <c r="Q16" i="1"/>
  <c r="R16" i="1"/>
  <c r="S16" i="1"/>
  <c r="P16" i="1"/>
  <c r="Q12" i="1"/>
  <c r="T12" i="1" s="1"/>
  <c r="R12" i="1"/>
  <c r="S12" i="1"/>
  <c r="Q11" i="1"/>
  <c r="R11" i="1"/>
  <c r="S11" i="1"/>
  <c r="U11" i="1" s="1"/>
  <c r="P11" i="1"/>
  <c r="Q10" i="1"/>
  <c r="R10" i="1"/>
  <c r="S10" i="1"/>
  <c r="U10" i="1" s="1"/>
  <c r="P10" i="1"/>
  <c r="Q9" i="1"/>
  <c r="R9" i="1"/>
  <c r="S9" i="1"/>
  <c r="P9" i="1"/>
  <c r="Q8" i="1"/>
  <c r="R8" i="1"/>
  <c r="S8" i="1"/>
  <c r="U8" i="1" s="1"/>
  <c r="P8" i="1"/>
  <c r="U9" i="1" l="1"/>
  <c r="T13" i="1"/>
  <c r="U12" i="1"/>
  <c r="U16" i="1"/>
  <c r="U13" i="1"/>
  <c r="U14" i="1"/>
  <c r="T14" i="1"/>
  <c r="T8" i="1"/>
  <c r="T11" i="1"/>
  <c r="T9" i="1"/>
  <c r="T16" i="1"/>
  <c r="T10" i="1"/>
  <c r="Q6" i="1"/>
  <c r="T6" i="1" s="1"/>
  <c r="R6" i="1"/>
  <c r="S6" i="1"/>
  <c r="R4" i="1"/>
  <c r="S4" i="1"/>
  <c r="U4" i="1" s="1"/>
  <c r="Q5" i="1"/>
  <c r="R5" i="1"/>
  <c r="U5" i="1"/>
  <c r="Q4" i="1"/>
  <c r="P22" i="1"/>
  <c r="Q3" i="1"/>
  <c r="R3" i="1"/>
  <c r="U6" i="1" l="1"/>
  <c r="T3" i="1"/>
  <c r="T4" i="1"/>
  <c r="T5" i="1"/>
  <c r="S3" i="1" l="1"/>
  <c r="U3" i="1" l="1"/>
  <c r="S22" i="1"/>
  <c r="Q7" i="1"/>
  <c r="R7" i="1"/>
  <c r="U7" i="1" l="1"/>
  <c r="R22" i="1"/>
  <c r="U22" i="1" s="1"/>
  <c r="T7" i="1"/>
  <c r="Q22" i="1"/>
  <c r="T22" i="1" s="1"/>
</calcChain>
</file>

<file path=xl/sharedStrings.xml><?xml version="1.0" encoding="utf-8"?>
<sst xmlns="http://schemas.openxmlformats.org/spreadsheetml/2006/main" count="245" uniqueCount="151">
  <si>
    <t>Symbol</t>
  </si>
  <si>
    <t>Target_price</t>
  </si>
  <si>
    <t>REV_2025F</t>
  </si>
  <si>
    <t>REV_2026F</t>
  </si>
  <si>
    <t>NPATMI_2025F</t>
  </si>
  <si>
    <t>NPATMI_2026F</t>
  </si>
  <si>
    <t>EPS_2025F</t>
  </si>
  <si>
    <t>EPS_2026F</t>
  </si>
  <si>
    <t>ROA_2025F</t>
  </si>
  <si>
    <t>ROA_2026F</t>
  </si>
  <si>
    <t>ROE_2025F</t>
  </si>
  <si>
    <t>ROE_2026F</t>
  </si>
  <si>
    <t>Sector/Ticker</t>
  </si>
  <si>
    <t>%YoY_Rev</t>
  </si>
  <si>
    <t>%YoY_NPATMI</t>
  </si>
  <si>
    <t>ACB</t>
  </si>
  <si>
    <t>Bank</t>
  </si>
  <si>
    <t>HDB</t>
  </si>
  <si>
    <t>Broker</t>
  </si>
  <si>
    <t>VPB</t>
  </si>
  <si>
    <t>Const</t>
  </si>
  <si>
    <t>MBB</t>
  </si>
  <si>
    <t>IP</t>
  </si>
  <si>
    <t>MSB</t>
  </si>
  <si>
    <t>Material</t>
  </si>
  <si>
    <t>NAB</t>
  </si>
  <si>
    <t>RE</t>
  </si>
  <si>
    <t>CTG</t>
  </si>
  <si>
    <t>Auto</t>
  </si>
  <si>
    <t>OCB</t>
  </si>
  <si>
    <t>Chemicals</t>
  </si>
  <si>
    <t>SHB</t>
  </si>
  <si>
    <t>Fertilizer</t>
  </si>
  <si>
    <t>STB</t>
  </si>
  <si>
    <t>O&amp;G</t>
  </si>
  <si>
    <t>TCB</t>
  </si>
  <si>
    <t>Utilities</t>
  </si>
  <si>
    <t>TPB</t>
  </si>
  <si>
    <t>Aviation</t>
  </si>
  <si>
    <t>VCB</t>
  </si>
  <si>
    <t>Fishery</t>
  </si>
  <si>
    <t>BID</t>
  </si>
  <si>
    <t>Tyre</t>
  </si>
  <si>
    <t>VIB</t>
  </si>
  <si>
    <t>Logistics</t>
  </si>
  <si>
    <t>EIB</t>
  </si>
  <si>
    <t>HCM</t>
  </si>
  <si>
    <t>Retail</t>
  </si>
  <si>
    <t>VCI</t>
  </si>
  <si>
    <t>Tech</t>
  </si>
  <si>
    <t>SSI</t>
  </si>
  <si>
    <t>Textile</t>
  </si>
  <si>
    <t>HHV</t>
  </si>
  <si>
    <t>Total</t>
  </si>
  <si>
    <t>LCG</t>
  </si>
  <si>
    <t>C4G</t>
  </si>
  <si>
    <t>CTI</t>
  </si>
  <si>
    <t>CTD</t>
  </si>
  <si>
    <t>DPG</t>
  </si>
  <si>
    <t>DPR</t>
  </si>
  <si>
    <t>VGC</t>
  </si>
  <si>
    <t>SZC</t>
  </si>
  <si>
    <t>SIP</t>
  </si>
  <si>
    <t>PHR</t>
  </si>
  <si>
    <t>KBC</t>
  </si>
  <si>
    <t>IDC</t>
  </si>
  <si>
    <t>HPG</t>
  </si>
  <si>
    <t>HSG</t>
  </si>
  <si>
    <t>NKG</t>
  </si>
  <si>
    <t>GDA</t>
  </si>
  <si>
    <t>VGS</t>
  </si>
  <si>
    <t>BMP</t>
  </si>
  <si>
    <t>NTP</t>
  </si>
  <si>
    <t>HT1</t>
  </si>
  <si>
    <t>DHA</t>
  </si>
  <si>
    <t>VLB</t>
  </si>
  <si>
    <t>NA</t>
  </si>
  <si>
    <t>VRE</t>
  </si>
  <si>
    <t>VHM</t>
  </si>
  <si>
    <t>PDR</t>
  </si>
  <si>
    <t>NLG</t>
  </si>
  <si>
    <t>KDH</t>
  </si>
  <si>
    <t>TCH</t>
  </si>
  <si>
    <t>DXG</t>
  </si>
  <si>
    <t>CSV</t>
  </si>
  <si>
    <t>DGC</t>
  </si>
  <si>
    <t>DHC</t>
  </si>
  <si>
    <t>DCM</t>
  </si>
  <si>
    <t>DDV</t>
  </si>
  <si>
    <t>DPM</t>
  </si>
  <si>
    <t>PVD</t>
  </si>
  <si>
    <t>OIL</t>
  </si>
  <si>
    <t>PVS</t>
  </si>
  <si>
    <t>GAS</t>
  </si>
  <si>
    <t>PLX</t>
  </si>
  <si>
    <t>BSR</t>
  </si>
  <si>
    <t>DRC</t>
  </si>
  <si>
    <t>CSM</t>
  </si>
  <si>
    <t>BWE</t>
  </si>
  <si>
    <t>REE</t>
  </si>
  <si>
    <t>QTP</t>
  </si>
  <si>
    <t>POW</t>
  </si>
  <si>
    <t>HDG</t>
  </si>
  <si>
    <t>PC1</t>
  </si>
  <si>
    <t>GEX</t>
  </si>
  <si>
    <t>NT2</t>
  </si>
  <si>
    <t>TV2</t>
  </si>
  <si>
    <t>HVN</t>
  </si>
  <si>
    <t>ANV</t>
  </si>
  <si>
    <t>VHC</t>
  </si>
  <si>
    <t>PVT</t>
  </si>
  <si>
    <t>GMD</t>
  </si>
  <si>
    <t>HAH</t>
  </si>
  <si>
    <t>PTB</t>
  </si>
  <si>
    <t>VNM</t>
  </si>
  <si>
    <t>DGW</t>
  </si>
  <si>
    <t>BAF</t>
  </si>
  <si>
    <t>MSN</t>
  </si>
  <si>
    <t>MWG</t>
  </si>
  <si>
    <t>FRT</t>
  </si>
  <si>
    <t>DBC</t>
  </si>
  <si>
    <t>PNJ</t>
  </si>
  <si>
    <t>ELC</t>
  </si>
  <si>
    <t>FPT</t>
  </si>
  <si>
    <t>CTR</t>
  </si>
  <si>
    <t>MSH</t>
  </si>
  <si>
    <t>TNG</t>
  </si>
  <si>
    <t>Mã CK</t>
  </si>
  <si>
    <t>Giai đoạn dự phóng</t>
  </si>
  <si>
    <t xml:space="preserve">Tần suất dữ liệu (Y: Year, Q: Quarter) </t>
  </si>
  <si>
    <t xml:space="preserve">Doanh thu dự phóng (tỷ đồng) </t>
  </si>
  <si>
    <t xml:space="preserve">LNST CĐTS dự phóng (tỷ đồng) </t>
  </si>
  <si>
    <t xml:space="preserve">EPS dự phóng (đồng) </t>
  </si>
  <si>
    <t xml:space="preserve">BVPS dự phóng (đồng) </t>
  </si>
  <si>
    <t xml:space="preserve">ROA dự phóng  </t>
  </si>
  <si>
    <t xml:space="preserve">ROE dự phóng </t>
  </si>
  <si>
    <t>Bán lẻ</t>
  </si>
  <si>
    <t>Công nghệ</t>
  </si>
  <si>
    <t>Du lịch</t>
  </si>
  <si>
    <t>Dầu khí</t>
  </si>
  <si>
    <t>BĐS</t>
  </si>
  <si>
    <t>Hàng dịch vụ, coongn ghiệp</t>
  </si>
  <si>
    <t>Hàng cá nhân</t>
  </si>
  <si>
    <t>Dịch vụ tài chính</t>
  </si>
  <si>
    <t>Hóa chất</t>
  </si>
  <si>
    <t>Ngân hàng</t>
  </si>
  <si>
    <t>Thực phẩm đồ uống</t>
  </si>
  <si>
    <t>Tài nguyên cơ bản</t>
  </si>
  <si>
    <t>Ô tô phụ tùng</t>
  </si>
  <si>
    <t>Xây dựng, vật liệu</t>
  </si>
  <si>
    <t>Điện nước xăng dầu khí đốt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</si>
</sst>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9" x14ac:knownFonts="1">
    <font>
      <sz val="12"/>
      <color theme="1"/>
      <name val="Aptos Narrow"/>
      <family val="2"/>
      <scheme val="minor"/>
    </font>
    <font>
      <sz val="10"/>
      <color theme="1"/>
      <name val="Nunito"/>
    </font>
    <font>
      <b/>
      <sz val="10"/>
      <color theme="1"/>
      <name val="Nunito"/>
    </font>
    <font>
      <b/>
      <sz val="10"/>
      <color theme="0"/>
      <name val="Nunito"/>
    </font>
    <font>
      <sz val="12"/>
      <color theme="1"/>
      <name val="Aptos Narrow"/>
      <family val="2"/>
      <scheme val="minor"/>
    </font>
    <font>
      <sz val="10"/>
      <color rgb="FFC00000"/>
      <name val="Nunito"/>
    </font>
    <font>
      <b/>
      <sz val="10"/>
      <color rgb="FFC00000"/>
      <name val="Nunito"/>
    </font>
    <font>
      <b/>
      <sz val="10"/>
      <color rgb="FF000000"/>
      <name val="Nunito"/>
    </font>
    <font>
      <sz val="12"/>
      <color theme="1"/>
      <name val="Nunito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42">
    <xf numFmtId="0" fontId="0" fillId="0" borderId="0" xfId="0"/>
    <xf numFmtId="0" fontId="2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3" fontId="1" fillId="2" borderId="0" xfId="0" applyNumberFormat="1" applyFont="1" applyFill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3" fontId="2" fillId="4" borderId="2" xfId="0" applyNumberFormat="1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3" fontId="1" fillId="2" borderId="7" xfId="0" applyNumberFormat="1" applyFont="1" applyFill="1" applyBorder="1" applyAlignment="1">
      <alignment horizontal="right" vertical="center"/>
    </xf>
    <xf numFmtId="0" fontId="2" fillId="4" borderId="4" xfId="0" applyFont="1" applyFill="1" applyBorder="1" applyAlignment="1">
      <alignment horizontal="left" vertical="center"/>
    </xf>
    <xf numFmtId="3" fontId="2" fillId="4" borderId="0" xfId="0" applyNumberFormat="1" applyFont="1" applyFill="1" applyAlignment="1">
      <alignment horizontal="right" vertical="center"/>
    </xf>
    <xf numFmtId="0" fontId="3" fillId="3" borderId="9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right" vertical="center"/>
    </xf>
    <xf numFmtId="165" fontId="1" fillId="2" borderId="0" xfId="2" applyNumberFormat="1" applyFont="1" applyFill="1" applyBorder="1" applyAlignment="1">
      <alignment horizontal="right" vertical="center"/>
    </xf>
    <xf numFmtId="164" fontId="5" fillId="2" borderId="0" xfId="1" applyNumberFormat="1" applyFont="1" applyFill="1" applyBorder="1" applyAlignment="1">
      <alignment horizontal="right" vertical="center"/>
    </xf>
    <xf numFmtId="164" fontId="5" fillId="2" borderId="5" xfId="1" applyNumberFormat="1" applyFont="1" applyFill="1" applyBorder="1" applyAlignment="1">
      <alignment horizontal="right" vertical="center"/>
    </xf>
    <xf numFmtId="164" fontId="3" fillId="3" borderId="10" xfId="0" applyNumberFormat="1" applyFont="1" applyFill="1" applyBorder="1" applyAlignment="1">
      <alignment horizontal="right" vertical="center"/>
    </xf>
    <xf numFmtId="164" fontId="3" fillId="3" borderId="11" xfId="0" applyNumberFormat="1" applyFont="1" applyFill="1" applyBorder="1" applyAlignment="1">
      <alignment horizontal="right" vertical="center"/>
    </xf>
    <xf numFmtId="164" fontId="2" fillId="4" borderId="0" xfId="0" applyNumberFormat="1" applyFont="1" applyFill="1" applyAlignment="1">
      <alignment horizontal="right" vertical="center"/>
    </xf>
    <xf numFmtId="164" fontId="2" fillId="4" borderId="5" xfId="0" applyNumberFormat="1" applyFont="1" applyFill="1" applyBorder="1" applyAlignment="1">
      <alignment horizontal="right" vertical="center"/>
    </xf>
    <xf numFmtId="164" fontId="2" fillId="4" borderId="2" xfId="0" applyNumberFormat="1" applyFont="1" applyFill="1" applyBorder="1" applyAlignment="1">
      <alignment horizontal="right" vertical="center"/>
    </xf>
    <xf numFmtId="164" fontId="2" fillId="4" borderId="3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Alignment="1">
      <alignment horizontal="right" vertical="center"/>
    </xf>
    <xf numFmtId="164" fontId="5" fillId="2" borderId="5" xfId="0" applyNumberFormat="1" applyFont="1" applyFill="1" applyBorder="1" applyAlignment="1">
      <alignment horizontal="right" vertical="center"/>
    </xf>
    <xf numFmtId="164" fontId="6" fillId="4" borderId="2" xfId="0" applyNumberFormat="1" applyFont="1" applyFill="1" applyBorder="1" applyAlignment="1">
      <alignment horizontal="right" vertical="center"/>
    </xf>
    <xf numFmtId="164" fontId="6" fillId="4" borderId="3" xfId="0" applyNumberFormat="1" applyFont="1" applyFill="1" applyBorder="1" applyAlignment="1">
      <alignment horizontal="right" vertical="center"/>
    </xf>
    <xf numFmtId="164" fontId="5" fillId="2" borderId="7" xfId="1" applyNumberFormat="1" applyFont="1" applyFill="1" applyBorder="1" applyAlignment="1">
      <alignment horizontal="right" vertical="center"/>
    </xf>
    <xf numFmtId="164" fontId="5" fillId="2" borderId="8" xfId="1" applyNumberFormat="1" applyFont="1" applyFill="1" applyBorder="1" applyAlignment="1">
      <alignment horizontal="right" vertical="center"/>
    </xf>
    <xf numFmtId="164" fontId="1" fillId="2" borderId="0" xfId="0" applyNumberFormat="1" applyFont="1" applyFill="1" applyAlignment="1">
      <alignment horizontal="right" vertical="center"/>
    </xf>
    <xf numFmtId="164" fontId="7" fillId="4" borderId="2" xfId="0" applyNumberFormat="1" applyFont="1" applyFill="1" applyBorder="1" applyAlignment="1">
      <alignment horizontal="right" vertical="center"/>
    </xf>
    <xf numFmtId="164" fontId="7" fillId="4" borderId="0" xfId="0" applyNumberFormat="1" applyFont="1" applyFill="1" applyAlignment="1">
      <alignment horizontal="right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165" fontId="8" fillId="0" borderId="13" xfId="2" applyNumberFormat="1" applyFont="1" applyBorder="1" applyAlignment="1">
      <alignment horizontal="center" vertical="center" wrapText="1"/>
    </xf>
    <xf numFmtId="9" fontId="8" fillId="0" borderId="13" xfId="1" applyFont="1" applyBorder="1" applyAlignment="1">
      <alignment horizontal="center" vertical="center" wrapText="1"/>
    </xf>
    <xf numFmtId="9" fontId="8" fillId="0" borderId="14" xfId="1" applyFont="1" applyBorder="1" applyAlignment="1">
      <alignment horizontal="center" vertical="center" wrapText="1"/>
    </xf>
    <xf numFmtId="9" fontId="1" fillId="2" borderId="0" xfId="0" applyNumberFormat="1" applyFont="1" applyFill="1" applyAlignment="1">
      <alignment horizontal="right" vertical="center"/>
    </xf>
    <xf numFmtId="3" fontId="1" fillId="5" borderId="0" xfId="0" applyNumberFormat="1" applyFont="1" applyFill="1" applyAlignment="1">
      <alignment horizontal="right" vertical="center"/>
    </xf>
    <xf numFmtId="165" fontId="1" fillId="5" borderId="0" xfId="2" applyNumberFormat="1" applyFont="1" applyFill="1" applyAlignment="1">
      <alignment horizontal="right" vertical="center"/>
    </xf>
    <xf numFmtId="3" fontId="1" fillId="5" borderId="7" xfId="0" applyNumberFormat="1" applyFont="1" applyFill="1" applyBorder="1" applyAlignment="1">
      <alignment horizontal="right" vertical="center"/>
    </xf>
    <xf numFmtId="164" fontId="1" fillId="2" borderId="0" xfId="1" applyNumberFormat="1" applyFont="1" applyFill="1" applyAlignment="1">
      <alignment horizontal="right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BSC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0A5DAF"/>
      </a:accent1>
      <a:accent2>
        <a:srgbClr val="009D87"/>
      </a:accent2>
      <a:accent3>
        <a:srgbClr val="007B84"/>
      </a:accent3>
      <a:accent4>
        <a:srgbClr val="FFBD00"/>
      </a:accent4>
      <a:accent5>
        <a:srgbClr val="EC8900"/>
      </a:accent5>
      <a:accent6>
        <a:srgbClr val="FABD29"/>
      </a:accent6>
      <a:hlink>
        <a:srgbClr val="00357B"/>
      </a:hlink>
      <a:folHlink>
        <a:srgbClr val="5F99DE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7BBF2-B4F0-D040-AC5B-CB3EE8CAABC8}">
  <dimension ref="B2:X246"/>
  <sheetViews>
    <sheetView tabSelected="1" topLeftCell="E1" zoomScale="87" workbookViewId="0">
      <pane ySplit="2" topLeftCell="A52" activePane="bottomLeft" state="frozen"/>
      <selection pane="bottomLeft" activeCell="L72" sqref="L72:M72"/>
    </sheetView>
  </sheetViews>
  <sheetFormatPr defaultColWidth="15.8984375" defaultRowHeight="19.95" customHeight="1" x14ac:dyDescent="0.3"/>
  <cols>
    <col min="1" max="1" width="15.8984375" style="3"/>
    <col min="2" max="2" width="15.8984375" style="2"/>
    <col min="3" max="9" width="15.8984375" style="3"/>
    <col min="10" max="13" width="15.8984375" style="29"/>
    <col min="14" max="16384" width="15.8984375" style="3"/>
  </cols>
  <sheetData>
    <row r="2" spans="2:24" s="1" customFormat="1" ht="19.95" customHeight="1" x14ac:dyDescent="0.3">
      <c r="B2" s="13" t="s">
        <v>0</v>
      </c>
      <c r="C2" s="13" t="s">
        <v>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7" t="s">
        <v>8</v>
      </c>
      <c r="K2" s="17" t="s">
        <v>9</v>
      </c>
      <c r="L2" s="17" t="s">
        <v>10</v>
      </c>
      <c r="M2" s="18" t="s">
        <v>11</v>
      </c>
      <c r="O2" s="12" t="s">
        <v>12</v>
      </c>
      <c r="P2" s="13" t="s">
        <v>2</v>
      </c>
      <c r="Q2" s="13" t="s">
        <v>3</v>
      </c>
      <c r="R2" s="13" t="s">
        <v>4</v>
      </c>
      <c r="S2" s="13" t="s">
        <v>5</v>
      </c>
      <c r="T2" s="13" t="s">
        <v>13</v>
      </c>
      <c r="U2" s="13" t="s">
        <v>14</v>
      </c>
      <c r="V2" s="13"/>
    </row>
    <row r="3" spans="2:24" s="1" customFormat="1" ht="19.95" customHeight="1" x14ac:dyDescent="0.3">
      <c r="B3" s="7" t="s">
        <v>15</v>
      </c>
      <c r="C3" s="38">
        <v>28400</v>
      </c>
      <c r="D3" s="4">
        <v>36077.680007757313</v>
      </c>
      <c r="E3" s="4">
        <v>40123.798573810731</v>
      </c>
      <c r="F3" s="4">
        <v>17932.536125676586</v>
      </c>
      <c r="G3" s="4">
        <v>20092.652048935219</v>
      </c>
      <c r="H3" s="4">
        <v>3491.0910890526525</v>
      </c>
      <c r="I3" s="4">
        <v>3911.620644836521</v>
      </c>
      <c r="J3" s="15">
        <v>1.9409218900995895E-2</v>
      </c>
      <c r="K3" s="15">
        <v>1.9038276218891349E-2</v>
      </c>
      <c r="L3" s="15">
        <v>0.19885801476167878</v>
      </c>
      <c r="M3" s="16">
        <v>0.19307510131740913</v>
      </c>
      <c r="O3" s="10" t="s">
        <v>16</v>
      </c>
      <c r="P3" s="11">
        <f>SUM(D3:D18)</f>
        <v>661507.93064907193</v>
      </c>
      <c r="Q3" s="11">
        <f>SUM(E3:E18)</f>
        <v>767059.75054039364</v>
      </c>
      <c r="R3" s="11">
        <f>SUM(F3:F18)</f>
        <v>254498.9108759301</v>
      </c>
      <c r="S3" s="11">
        <f>SUM(G3:G18)</f>
        <v>295150.57702362025</v>
      </c>
      <c r="T3" s="31">
        <f>Q3/P3-1</f>
        <v>0.15956244060105851</v>
      </c>
      <c r="U3" s="31">
        <f>S3/R3-1</f>
        <v>0.15973218120178156</v>
      </c>
      <c r="V3" s="11"/>
      <c r="W3" s="19"/>
      <c r="X3" s="20"/>
    </row>
    <row r="4" spans="2:24" ht="19.95" customHeight="1" x14ac:dyDescent="0.3">
      <c r="B4" s="7" t="s">
        <v>17</v>
      </c>
      <c r="C4" s="38">
        <v>27700</v>
      </c>
      <c r="D4" s="4">
        <v>42472.25294253914</v>
      </c>
      <c r="E4" s="4">
        <v>50017.827898706011</v>
      </c>
      <c r="F4" s="4">
        <v>16243.604724445851</v>
      </c>
      <c r="G4" s="4">
        <v>19302.727459431277</v>
      </c>
      <c r="H4" s="4">
        <v>3313.9547307804482</v>
      </c>
      <c r="I4" s="4">
        <v>3281.7205122825258</v>
      </c>
      <c r="J4" s="15">
        <v>2.0886805350263601E-2</v>
      </c>
      <c r="K4" s="15">
        <v>1.9960123127433654E-2</v>
      </c>
      <c r="L4" s="15">
        <v>0.25197925628039031</v>
      </c>
      <c r="M4" s="16">
        <v>0.22955287550776987</v>
      </c>
      <c r="O4" s="5" t="s">
        <v>18</v>
      </c>
      <c r="P4" s="6">
        <f>SUM(D19:D21)</f>
        <v>22396</v>
      </c>
      <c r="Q4" s="6">
        <f>SUM(E19:E21)</f>
        <v>23019</v>
      </c>
      <c r="R4" s="6">
        <f>SUM(F19:F21)</f>
        <v>6951</v>
      </c>
      <c r="S4" s="6">
        <f>SUM(G19:G21)</f>
        <v>7139</v>
      </c>
      <c r="T4" s="30">
        <f t="shared" ref="T4:T21" si="0">Q4/P4-1</f>
        <v>2.7817467404893659E-2</v>
      </c>
      <c r="U4" s="30">
        <f t="shared" ref="U4:U21" si="1">S4/R4-1</f>
        <v>2.7046468134081403E-2</v>
      </c>
      <c r="V4" s="21"/>
      <c r="W4" s="21"/>
      <c r="X4" s="22"/>
    </row>
    <row r="5" spans="2:24" ht="19.95" customHeight="1" x14ac:dyDescent="0.3">
      <c r="B5" s="7" t="s">
        <v>19</v>
      </c>
      <c r="C5" s="38">
        <v>35000</v>
      </c>
      <c r="D5" s="4">
        <v>72394.396029686148</v>
      </c>
      <c r="E5" s="4">
        <v>88723.118862041883</v>
      </c>
      <c r="F5" s="4">
        <v>21875.406160558025</v>
      </c>
      <c r="G5" s="4">
        <v>26153.068664889601</v>
      </c>
      <c r="H5" s="4">
        <v>2757.2071945144289</v>
      </c>
      <c r="I5" s="4">
        <v>3296.369838905141</v>
      </c>
      <c r="J5" s="15">
        <v>2.0849468990671874E-2</v>
      </c>
      <c r="K5" s="15">
        <v>1.927365283283116E-2</v>
      </c>
      <c r="L5" s="15">
        <v>0.14500544689286959</v>
      </c>
      <c r="M5" s="16">
        <v>0.15302560241830168</v>
      </c>
      <c r="O5" s="5" t="s">
        <v>20</v>
      </c>
      <c r="P5" s="6">
        <f>SUM(D22:D27)</f>
        <v>41117.126467427996</v>
      </c>
      <c r="Q5" s="6">
        <f>SUM(E22:E27)</f>
        <v>48872.278640700002</v>
      </c>
      <c r="R5" s="6">
        <f>SUM(F22:F27)</f>
        <v>1767.5952858172302</v>
      </c>
      <c r="S5" s="6">
        <f>SUM(G22:G27)</f>
        <v>2308.4806812073693</v>
      </c>
      <c r="T5" s="30">
        <f t="shared" si="0"/>
        <v>0.18861123914910372</v>
      </c>
      <c r="U5" s="30">
        <f t="shared" si="1"/>
        <v>0.30600070034700622</v>
      </c>
      <c r="V5" s="25"/>
      <c r="W5" s="25"/>
      <c r="X5" s="26"/>
    </row>
    <row r="6" spans="2:24" ht="19.95" customHeight="1" x14ac:dyDescent="0.3">
      <c r="B6" s="7" t="s">
        <v>21</v>
      </c>
      <c r="C6" s="38">
        <v>29750</v>
      </c>
      <c r="D6" s="4">
        <v>65619.939395248744</v>
      </c>
      <c r="E6" s="4">
        <v>79886.868291946099</v>
      </c>
      <c r="F6" s="4">
        <v>25321.545613651528</v>
      </c>
      <c r="G6" s="4">
        <v>29814.321924328342</v>
      </c>
      <c r="H6" s="4">
        <v>3704.9348808182535</v>
      </c>
      <c r="I6" s="4">
        <v>3701.343535657486</v>
      </c>
      <c r="J6" s="15">
        <v>2.0229374869240823E-2</v>
      </c>
      <c r="K6" s="15">
        <v>1.9438486079538315E-2</v>
      </c>
      <c r="L6" s="15">
        <v>0.20418374183794633</v>
      </c>
      <c r="M6" s="16">
        <v>0.19772670366737546</v>
      </c>
      <c r="O6" s="5" t="s">
        <v>22</v>
      </c>
      <c r="P6" s="6">
        <f>SUM(D28:D34)</f>
        <v>20242.876066612647</v>
      </c>
      <c r="Q6" s="6">
        <f>SUM(E28:E34)</f>
        <v>24101.196423707399</v>
      </c>
      <c r="R6" s="6">
        <f>SUM(F28:F34)</f>
        <v>3146.1009916022003</v>
      </c>
      <c r="S6" s="6">
        <f>SUM(G28:G34)</f>
        <v>4348.7024049203783</v>
      </c>
      <c r="T6" s="30">
        <f t="shared" si="0"/>
        <v>0.19060139203531601</v>
      </c>
      <c r="U6" s="30">
        <f t="shared" si="1"/>
        <v>0.38225136972025009</v>
      </c>
      <c r="V6" s="25"/>
      <c r="W6" s="25"/>
      <c r="X6" s="26"/>
    </row>
    <row r="7" spans="2:24" ht="19.95" customHeight="1" x14ac:dyDescent="0.3">
      <c r="B7" s="7" t="s">
        <v>23</v>
      </c>
      <c r="C7" s="38">
        <v>16000</v>
      </c>
      <c r="D7" s="4">
        <v>14315.339924981068</v>
      </c>
      <c r="E7" s="4">
        <v>16031.493444888871</v>
      </c>
      <c r="F7" s="4">
        <v>5411.6453484514659</v>
      </c>
      <c r="G7" s="4">
        <v>6214.4403780432922</v>
      </c>
      <c r="H7" s="4">
        <v>2081.4020570967177</v>
      </c>
      <c r="I7" s="4">
        <v>2390.1693761704973</v>
      </c>
      <c r="J7" s="15">
        <v>1.5141612515852287E-2</v>
      </c>
      <c r="K7" s="15">
        <v>1.4533005784716575E-2</v>
      </c>
      <c r="L7" s="15">
        <v>0.13818161853507352</v>
      </c>
      <c r="M7" s="16">
        <v>0.14072330473392258</v>
      </c>
      <c r="O7" s="5" t="s">
        <v>24</v>
      </c>
      <c r="P7" s="6">
        <f>SUM(D35:D43)</f>
        <v>262471.51137495448</v>
      </c>
      <c r="Q7" s="6">
        <f>SUM(E35:E43)</f>
        <v>308552.84066494537</v>
      </c>
      <c r="R7" s="6">
        <f>SUM(F35:F43)</f>
        <v>20928.232668280252</v>
      </c>
      <c r="S7" s="6">
        <f>SUM(G35:G43)</f>
        <v>28731.520878869807</v>
      </c>
      <c r="T7" s="30">
        <f t="shared" si="0"/>
        <v>0.17556697505414687</v>
      </c>
      <c r="U7" s="30">
        <f t="shared" si="1"/>
        <v>0.37285939688622438</v>
      </c>
      <c r="V7" s="25"/>
      <c r="W7" s="25"/>
      <c r="X7" s="26"/>
    </row>
    <row r="8" spans="2:24" ht="19.95" customHeight="1" x14ac:dyDescent="0.3">
      <c r="B8" s="7" t="s">
        <v>25</v>
      </c>
      <c r="C8" s="38">
        <v>17000</v>
      </c>
      <c r="D8" s="4">
        <v>9587.0672887947385</v>
      </c>
      <c r="E8" s="4">
        <v>10644.661233775545</v>
      </c>
      <c r="F8" s="4">
        <v>3777.6990392691887</v>
      </c>
      <c r="G8" s="4">
        <v>4231.1705627350448</v>
      </c>
      <c r="H8" s="4">
        <v>2201.8556916394009</v>
      </c>
      <c r="I8" s="4">
        <v>2466.1644268140394</v>
      </c>
      <c r="J8" s="15">
        <v>1.4309407015105169E-2</v>
      </c>
      <c r="K8" s="15">
        <v>1.3720849234967306E-2</v>
      </c>
      <c r="L8" s="15">
        <v>0.17913516247541028</v>
      </c>
      <c r="M8" s="16">
        <v>0.17207896697953781</v>
      </c>
      <c r="O8" s="5" t="s">
        <v>26</v>
      </c>
      <c r="P8" s="6">
        <f>SUM(D45:D51)</f>
        <v>166496.7739092487</v>
      </c>
      <c r="Q8" s="6">
        <f>SUM(E45:E51)</f>
        <v>184880.34311399882</v>
      </c>
      <c r="R8" s="6">
        <f>SUM(F45:F51)</f>
        <v>49475.101970617732</v>
      </c>
      <c r="S8" s="6">
        <f>SUM(G45:G51)</f>
        <v>63628.432815708598</v>
      </c>
      <c r="T8" s="30">
        <f t="shared" si="0"/>
        <v>0.11041396642778389</v>
      </c>
      <c r="U8" s="30">
        <f t="shared" si="1"/>
        <v>0.28606976603092682</v>
      </c>
      <c r="V8" s="25"/>
      <c r="W8" s="25"/>
      <c r="X8" s="26"/>
    </row>
    <row r="9" spans="2:24" ht="19.95" customHeight="1" x14ac:dyDescent="0.3">
      <c r="B9" s="7" t="s">
        <v>27</v>
      </c>
      <c r="C9" s="38">
        <v>40200</v>
      </c>
      <c r="D9" s="4">
        <v>87723.263415593043</v>
      </c>
      <c r="E9" s="4">
        <v>100078.23149145705</v>
      </c>
      <c r="F9" s="4">
        <v>32199.069583293349</v>
      </c>
      <c r="G9" s="4">
        <v>38536.239437707438</v>
      </c>
      <c r="H9" s="4">
        <v>5996.111557394026</v>
      </c>
      <c r="I9" s="4">
        <v>5836.1786457448206</v>
      </c>
      <c r="J9" s="15">
        <v>1.2616082075085047E-2</v>
      </c>
      <c r="K9" s="15">
        <v>1.3150645095493808E-2</v>
      </c>
      <c r="L9" s="15">
        <v>0.19677551888479386</v>
      </c>
      <c r="M9" s="16">
        <v>0.19364830752750486</v>
      </c>
      <c r="O9" s="5" t="s">
        <v>28</v>
      </c>
      <c r="P9" s="6" t="e">
        <f>#REF!</f>
        <v>#REF!</v>
      </c>
      <c r="Q9" s="6" t="e">
        <f>#REF!</f>
        <v>#REF!</v>
      </c>
      <c r="R9" s="6" t="e">
        <f>#REF!</f>
        <v>#REF!</v>
      </c>
      <c r="S9" s="6" t="e">
        <f>#REF!</f>
        <v>#REF!</v>
      </c>
      <c r="T9" s="30" t="e">
        <f t="shared" si="0"/>
        <v>#REF!</v>
      </c>
      <c r="U9" s="30" t="e">
        <f t="shared" si="1"/>
        <v>#REF!</v>
      </c>
      <c r="V9" s="25"/>
      <c r="W9" s="25"/>
      <c r="X9" s="26"/>
    </row>
    <row r="10" spans="2:24" ht="19.95" customHeight="1" x14ac:dyDescent="0.3">
      <c r="B10" s="7" t="s">
        <v>29</v>
      </c>
      <c r="C10" s="38">
        <v>14000</v>
      </c>
      <c r="D10" s="4">
        <v>10859.917424650897</v>
      </c>
      <c r="E10" s="4">
        <v>12366.881306829844</v>
      </c>
      <c r="F10" s="4">
        <v>3771.6288858650487</v>
      </c>
      <c r="G10" s="4">
        <v>4409.7799811994173</v>
      </c>
      <c r="H10" s="4">
        <v>1529.5828853841303</v>
      </c>
      <c r="I10" s="4">
        <v>1788.3848574898009</v>
      </c>
      <c r="J10" s="15">
        <v>1.2843387615637207E-2</v>
      </c>
      <c r="K10" s="15">
        <v>1.2864720761272385E-2</v>
      </c>
      <c r="L10" s="15">
        <v>0.11728896494431994</v>
      </c>
      <c r="M10" s="16">
        <v>0.12877020147567994</v>
      </c>
      <c r="O10" s="5" t="s">
        <v>30</v>
      </c>
      <c r="P10" s="6">
        <f>SUM(D52:D54)</f>
        <v>16816.222733533243</v>
      </c>
      <c r="Q10" s="6">
        <f>SUM(E52:E54)</f>
        <v>17805.954939364477</v>
      </c>
      <c r="R10" s="6">
        <f>SUM(F52:F54)</f>
        <v>3942.6850247366483</v>
      </c>
      <c r="S10" s="6">
        <f>SUM(G52:G54)</f>
        <v>3906.8417654125719</v>
      </c>
      <c r="T10" s="30">
        <f t="shared" si="0"/>
        <v>5.8855797851535829E-2</v>
      </c>
      <c r="U10" s="30">
        <f t="shared" si="1"/>
        <v>-9.0910785668125715E-3</v>
      </c>
      <c r="V10" s="25"/>
      <c r="W10" s="25"/>
      <c r="X10" s="26"/>
    </row>
    <row r="11" spans="2:24" ht="19.95" customHeight="1" x14ac:dyDescent="0.3">
      <c r="B11" s="7" t="s">
        <v>31</v>
      </c>
      <c r="C11" s="38">
        <v>19000</v>
      </c>
      <c r="D11" s="4">
        <v>29526</v>
      </c>
      <c r="E11" s="4">
        <v>34507</v>
      </c>
      <c r="F11" s="4">
        <v>12619</v>
      </c>
      <c r="G11" s="4">
        <v>14535</v>
      </c>
      <c r="H11" s="4">
        <v>2641.7211187242037</v>
      </c>
      <c r="I11" s="4">
        <v>3121.1823721380888</v>
      </c>
      <c r="J11" s="15">
        <v>1.5937973168875748E-2</v>
      </c>
      <c r="K11" s="15">
        <v>1.6497283034291252E-2</v>
      </c>
      <c r="L11" s="15">
        <v>0.20200000000000001</v>
      </c>
      <c r="M11" s="16">
        <v>0.19800000000000001</v>
      </c>
      <c r="O11" s="5" t="s">
        <v>32</v>
      </c>
      <c r="P11" s="6">
        <f>SUM(D55:D57)</f>
        <v>39615.15395899237</v>
      </c>
      <c r="Q11" s="6">
        <f>SUM(E55:E57)</f>
        <v>38664.172885730797</v>
      </c>
      <c r="R11" s="6">
        <f>SUM(F55:F57)</f>
        <v>3794.6249735066717</v>
      </c>
      <c r="S11" s="6">
        <f>SUM(G55:G57)</f>
        <v>2976.690716578375</v>
      </c>
      <c r="T11" s="30">
        <f t="shared" si="0"/>
        <v>-2.4005487249803004E-2</v>
      </c>
      <c r="U11" s="30">
        <f t="shared" si="1"/>
        <v>-0.21555074945190988</v>
      </c>
      <c r="V11" s="25"/>
      <c r="W11" s="25"/>
      <c r="X11" s="26"/>
    </row>
    <row r="12" spans="2:24" ht="19.95" customHeight="1" x14ac:dyDescent="0.3">
      <c r="B12" s="7" t="s">
        <v>33</v>
      </c>
      <c r="C12" s="38">
        <v>53000</v>
      </c>
      <c r="D12" s="4">
        <v>32623.843639521987</v>
      </c>
      <c r="E12" s="4">
        <v>37000.293942201752</v>
      </c>
      <c r="F12" s="4">
        <v>11837.216654294734</v>
      </c>
      <c r="G12" s="4">
        <v>13648.491479486198</v>
      </c>
      <c r="H12" s="4">
        <v>6278.9719785545931</v>
      </c>
      <c r="I12" s="4">
        <v>7239.7505302179425</v>
      </c>
      <c r="J12" s="15">
        <v>1.4979945289375901E-2</v>
      </c>
      <c r="K12" s="15">
        <v>1.4481270623687459E-2</v>
      </c>
      <c r="L12" s="15">
        <v>0.20004736447947036</v>
      </c>
      <c r="M12" s="16">
        <v>0.20288496369275089</v>
      </c>
      <c r="O12" s="5" t="s">
        <v>34</v>
      </c>
      <c r="P12" s="6">
        <f>SUM(D58:D63)</f>
        <v>719202.59324127808</v>
      </c>
      <c r="Q12" s="6">
        <f>SUM(E58:E63)</f>
        <v>765529.24880369043</v>
      </c>
      <c r="R12" s="6">
        <f>SUM(F58:F63)</f>
        <v>20877.665448039483</v>
      </c>
      <c r="S12" s="6">
        <f>SUM(G58:G63)</f>
        <v>20882.763935354538</v>
      </c>
      <c r="T12" s="30">
        <f t="shared" si="0"/>
        <v>6.441391618685488E-2</v>
      </c>
      <c r="U12" s="30">
        <f t="shared" si="1"/>
        <v>2.442077313551394E-4</v>
      </c>
      <c r="V12" s="25"/>
      <c r="W12" s="25"/>
      <c r="X12" s="26"/>
    </row>
    <row r="13" spans="2:24" ht="19.95" customHeight="1" x14ac:dyDescent="0.3">
      <c r="B13" s="7" t="s">
        <v>35</v>
      </c>
      <c r="C13" s="38">
        <v>41300</v>
      </c>
      <c r="D13" s="4">
        <v>52860.724375676029</v>
      </c>
      <c r="E13" s="4">
        <v>62034.253713589613</v>
      </c>
      <c r="F13" s="4">
        <v>24627.961378814463</v>
      </c>
      <c r="G13" s="4">
        <v>29413.094926997121</v>
      </c>
      <c r="H13" s="4">
        <v>3483.3463439895863</v>
      </c>
      <c r="I13" s="4">
        <v>4150.7267890469302</v>
      </c>
      <c r="J13" s="15">
        <v>2.3273393700035495E-2</v>
      </c>
      <c r="K13" s="15">
        <v>2.3729857588039006E-2</v>
      </c>
      <c r="L13" s="15">
        <v>0.15960292200853435</v>
      </c>
      <c r="M13" s="16">
        <v>0.16765328456339559</v>
      </c>
      <c r="O13" s="5" t="s">
        <v>36</v>
      </c>
      <c r="P13" s="6">
        <f>SUM(D66:D73)</f>
        <v>125878.33998377492</v>
      </c>
      <c r="Q13" s="6">
        <f>SUM(E66:E73)</f>
        <v>153785.28603512258</v>
      </c>
      <c r="R13" s="6">
        <f>SUM(F66:F73)</f>
        <v>11358.683461001292</v>
      </c>
      <c r="S13" s="6">
        <f>SUM(G66:G73)</f>
        <v>12376.682082575435</v>
      </c>
      <c r="T13" s="30">
        <f t="shared" si="0"/>
        <v>0.22169776035293065</v>
      </c>
      <c r="U13" s="30">
        <f t="shared" si="1"/>
        <v>8.962294134433102E-2</v>
      </c>
      <c r="V13" s="25"/>
      <c r="W13" s="25"/>
      <c r="X13" s="26"/>
    </row>
    <row r="14" spans="2:24" ht="19.95" customHeight="1" x14ac:dyDescent="0.3">
      <c r="B14" s="7" t="s">
        <v>37</v>
      </c>
      <c r="C14" s="38">
        <v>18600</v>
      </c>
      <c r="D14" s="4">
        <v>18390.31153582257</v>
      </c>
      <c r="E14" s="4">
        <v>20662.59750576075</v>
      </c>
      <c r="F14" s="4">
        <v>6816.0783576752192</v>
      </c>
      <c r="G14" s="4">
        <v>7932.9675332450806</v>
      </c>
      <c r="H14" s="4">
        <v>2510.7206746514485</v>
      </c>
      <c r="I14" s="4">
        <v>2812.9209019413497</v>
      </c>
      <c r="J14" s="15">
        <v>1.4745109231593485E-2</v>
      </c>
      <c r="K14" s="15">
        <v>1.4254542628195161E-2</v>
      </c>
      <c r="L14" s="15">
        <v>0.16899311815412502</v>
      </c>
      <c r="M14" s="16">
        <v>0.17349089863361172</v>
      </c>
      <c r="O14" s="5" t="s">
        <v>38</v>
      </c>
      <c r="P14" s="6">
        <f>D75</f>
        <v>115905</v>
      </c>
      <c r="Q14" s="6">
        <f>E75</f>
        <v>130981</v>
      </c>
      <c r="R14" s="6">
        <f>F75</f>
        <v>8172</v>
      </c>
      <c r="S14" s="6">
        <f>G75</f>
        <v>9085</v>
      </c>
      <c r="T14" s="30">
        <f t="shared" si="0"/>
        <v>0.13007204175833653</v>
      </c>
      <c r="U14" s="30">
        <f t="shared" si="1"/>
        <v>0.1117229564366129</v>
      </c>
      <c r="V14" s="25"/>
      <c r="W14" s="25"/>
      <c r="X14" s="26"/>
    </row>
    <row r="15" spans="2:24" ht="19.95" customHeight="1" x14ac:dyDescent="0.3">
      <c r="B15" s="7" t="s">
        <v>39</v>
      </c>
      <c r="C15" s="38">
        <v>73200</v>
      </c>
      <c r="D15" s="4">
        <v>73821.09580506607</v>
      </c>
      <c r="E15" s="4">
        <v>83681.85197540748</v>
      </c>
      <c r="F15" s="4">
        <v>35221.486963243478</v>
      </c>
      <c r="G15" s="4">
        <v>39514.430850060991</v>
      </c>
      <c r="H15" s="4">
        <v>4215.2689757422168</v>
      </c>
      <c r="I15" s="4">
        <v>4729.0437973330254</v>
      </c>
      <c r="J15" s="15">
        <v>1.5775359792775275E-2</v>
      </c>
      <c r="K15" s="15">
        <v>1.5356032454671585E-2</v>
      </c>
      <c r="L15" s="15">
        <v>0.16479920160390579</v>
      </c>
      <c r="M15" s="16">
        <v>0.15737057461349874</v>
      </c>
      <c r="O15" s="5" t="s">
        <v>40</v>
      </c>
      <c r="P15" s="6">
        <f>SUM(D76:D77)</f>
        <v>19133</v>
      </c>
      <c r="Q15" s="6">
        <f>SUM(E76:E77)</f>
        <v>21721</v>
      </c>
      <c r="R15" s="6">
        <f>SUM(F76:F77)</f>
        <v>2481</v>
      </c>
      <c r="S15" s="6">
        <f>SUM(G76:G77)</f>
        <v>2869</v>
      </c>
      <c r="T15" s="30">
        <f>Q15/P15-1</f>
        <v>0.13526368055192606</v>
      </c>
      <c r="U15" s="30">
        <f>S15/R15-1</f>
        <v>0.15638855300282151</v>
      </c>
      <c r="V15" s="25"/>
      <c r="W15" s="25"/>
      <c r="X15" s="26"/>
    </row>
    <row r="16" spans="2:24" ht="19.95" customHeight="1" x14ac:dyDescent="0.3">
      <c r="B16" s="7" t="s">
        <v>41</v>
      </c>
      <c r="C16" s="38">
        <v>44400</v>
      </c>
      <c r="D16" s="4">
        <v>86654.266942263814</v>
      </c>
      <c r="E16" s="4">
        <v>98958.408071746904</v>
      </c>
      <c r="F16" s="4">
        <v>26308.184195372891</v>
      </c>
      <c r="G16" s="4">
        <v>29232.231308694332</v>
      </c>
      <c r="H16" s="4">
        <v>3746.8776551420715</v>
      </c>
      <c r="I16" s="4">
        <v>4009.3756973589921</v>
      </c>
      <c r="J16" s="15">
        <v>8.9374511045850844E-3</v>
      </c>
      <c r="K16" s="15">
        <v>8.7031983650577589E-3</v>
      </c>
      <c r="L16" s="15">
        <v>0.17121706446689103</v>
      </c>
      <c r="M16" s="16">
        <v>0.15545721334376902</v>
      </c>
      <c r="O16" s="5" t="s">
        <v>42</v>
      </c>
      <c r="P16" s="6">
        <f>SUM(D64:D65)</f>
        <v>9221.0873887807684</v>
      </c>
      <c r="Q16" s="6">
        <f>SUM(E64:E65)</f>
        <v>9771.0379105501997</v>
      </c>
      <c r="R16" s="6">
        <f>SUM(F64:F65)</f>
        <v>206.1686674296663</v>
      </c>
      <c r="S16" s="6">
        <f>SUM(G64:G65)</f>
        <v>256.28073269983975</v>
      </c>
      <c r="T16" s="30">
        <f t="shared" si="0"/>
        <v>5.9640528126710057E-2</v>
      </c>
      <c r="U16" s="30">
        <f t="shared" si="1"/>
        <v>0.24306343876073688</v>
      </c>
      <c r="V16" s="25"/>
      <c r="W16" s="25"/>
      <c r="X16" s="26"/>
    </row>
    <row r="17" spans="2:24" ht="19.95" customHeight="1" x14ac:dyDescent="0.3">
      <c r="B17" s="7" t="s">
        <v>43</v>
      </c>
      <c r="C17" s="38">
        <v>23000</v>
      </c>
      <c r="D17" s="4">
        <v>20512.831921470344</v>
      </c>
      <c r="E17" s="4">
        <v>23123.464228231151</v>
      </c>
      <c r="F17" s="4">
        <v>7557.847845318267</v>
      </c>
      <c r="G17" s="4">
        <v>8578.9604678669348</v>
      </c>
      <c r="H17" s="4">
        <v>2220.2806132435421</v>
      </c>
      <c r="I17" s="4">
        <v>2520.2544425906722</v>
      </c>
      <c r="J17" s="15">
        <v>1.4312536546140276E-2</v>
      </c>
      <c r="K17" s="15">
        <v>1.3903491887333445E-2</v>
      </c>
      <c r="L17" s="15">
        <v>0.16635882903236662</v>
      </c>
      <c r="M17" s="16">
        <v>0.16277770477200801</v>
      </c>
      <c r="O17" s="5" t="s">
        <v>44</v>
      </c>
      <c r="P17" s="6">
        <f>SUM(D78:D80)</f>
        <v>25530</v>
      </c>
      <c r="Q17" s="6">
        <f>SUM(E78:E80)</f>
        <v>27459</v>
      </c>
      <c r="R17" s="6">
        <f>SUM(F78:F80)</f>
        <v>3818</v>
      </c>
      <c r="S17" s="6">
        <f>SUM(G78:G80)</f>
        <v>4238</v>
      </c>
      <c r="T17" s="30">
        <f t="shared" si="0"/>
        <v>7.5558166862514708E-2</v>
      </c>
      <c r="U17" s="30">
        <f t="shared" si="1"/>
        <v>0.11000523834468301</v>
      </c>
      <c r="V17" s="25"/>
      <c r="W17" s="25"/>
      <c r="X17" s="26"/>
    </row>
    <row r="18" spans="2:24" ht="19.95" customHeight="1" x14ac:dyDescent="0.3">
      <c r="B18" s="7" t="s">
        <v>45</v>
      </c>
      <c r="C18" s="38">
        <v>26000</v>
      </c>
      <c r="D18" s="4">
        <v>8069</v>
      </c>
      <c r="E18" s="4">
        <v>9219</v>
      </c>
      <c r="F18" s="4">
        <v>2978</v>
      </c>
      <c r="G18" s="4">
        <v>3541</v>
      </c>
      <c r="H18" s="4">
        <v>1594</v>
      </c>
      <c r="I18" s="4">
        <v>1895</v>
      </c>
      <c r="J18" s="15">
        <v>1.1812330749887285E-2</v>
      </c>
      <c r="K18" s="15">
        <v>1.2E-2</v>
      </c>
      <c r="L18" s="15">
        <v>0.112</v>
      </c>
      <c r="M18" s="16">
        <v>0.121</v>
      </c>
      <c r="O18" s="5" t="s">
        <v>24</v>
      </c>
      <c r="P18" s="6">
        <f>D81</f>
        <v>7290</v>
      </c>
      <c r="Q18" s="6">
        <f>E81</f>
        <v>7233</v>
      </c>
      <c r="R18" s="6">
        <f>F81</f>
        <v>501</v>
      </c>
      <c r="S18" s="6">
        <f>G81</f>
        <v>474</v>
      </c>
      <c r="T18" s="30">
        <f t="shared" si="0"/>
        <v>-7.8189300411523055E-3</v>
      </c>
      <c r="U18" s="30">
        <f t="shared" si="1"/>
        <v>-5.3892215568862256E-2</v>
      </c>
      <c r="V18" s="25"/>
      <c r="W18" s="25"/>
      <c r="X18" s="26"/>
    </row>
    <row r="19" spans="2:24" ht="19.95" customHeight="1" x14ac:dyDescent="0.3">
      <c r="B19" s="7" t="s">
        <v>46</v>
      </c>
      <c r="C19" s="38">
        <v>25000</v>
      </c>
      <c r="D19" s="4">
        <v>5081</v>
      </c>
      <c r="E19" s="4">
        <v>5224</v>
      </c>
      <c r="F19" s="4">
        <v>1215</v>
      </c>
      <c r="G19" s="4">
        <v>1249</v>
      </c>
      <c r="H19" s="4">
        <v>1521</v>
      </c>
      <c r="I19" s="4">
        <v>1155</v>
      </c>
      <c r="J19" s="23">
        <v>2.3E-2</v>
      </c>
      <c r="K19" s="23">
        <v>2.3E-2</v>
      </c>
      <c r="L19" s="23">
        <v>8.3000000000000004E-2</v>
      </c>
      <c r="M19" s="24">
        <v>7.9000000000000001E-2</v>
      </c>
      <c r="O19" s="5" t="s">
        <v>47</v>
      </c>
      <c r="P19" s="6">
        <f>SUM(D82:D89)</f>
        <v>434101</v>
      </c>
      <c r="Q19" s="6">
        <f>SUM(E82:E89)</f>
        <v>498170</v>
      </c>
      <c r="R19" s="6">
        <f>SUM(F82:F89)</f>
        <v>25837</v>
      </c>
      <c r="S19" s="6">
        <f>SUM(G82:G89)</f>
        <v>29663</v>
      </c>
      <c r="T19" s="30">
        <f t="shared" si="0"/>
        <v>0.147590076963656</v>
      </c>
      <c r="U19" s="30">
        <f t="shared" si="1"/>
        <v>0.14808220768665104</v>
      </c>
      <c r="V19" s="25"/>
      <c r="W19" s="25"/>
      <c r="X19" s="26"/>
    </row>
    <row r="20" spans="2:24" ht="19.95" customHeight="1" x14ac:dyDescent="0.3">
      <c r="B20" s="7" t="s">
        <v>48</v>
      </c>
      <c r="C20" s="38">
        <v>33000</v>
      </c>
      <c r="D20" s="4">
        <v>4618</v>
      </c>
      <c r="E20" s="4">
        <v>4801</v>
      </c>
      <c r="F20" s="4">
        <v>1238</v>
      </c>
      <c r="G20" s="4">
        <v>1287</v>
      </c>
      <c r="H20" s="4">
        <v>1717</v>
      </c>
      <c r="I20" s="4">
        <v>1781</v>
      </c>
      <c r="J20" s="23">
        <v>3.5999999999999997E-2</v>
      </c>
      <c r="K20" s="23">
        <v>3.7999999999999999E-2</v>
      </c>
      <c r="L20" s="23">
        <v>9.5000000000000001E-2</v>
      </c>
      <c r="M20" s="24">
        <v>9.7000000000000003E-2</v>
      </c>
      <c r="O20" s="5" t="s">
        <v>49</v>
      </c>
      <c r="P20" s="6">
        <f>SUM(D90:D92)</f>
        <v>85190</v>
      </c>
      <c r="Q20" s="6">
        <f>SUM(E90:E92)</f>
        <v>96708</v>
      </c>
      <c r="R20" s="6">
        <f>SUM(F90:F92)</f>
        <v>10075</v>
      </c>
      <c r="S20" s="6">
        <f>SUM(G90:G92)</f>
        <v>11831</v>
      </c>
      <c r="T20" s="30">
        <f t="shared" si="0"/>
        <v>0.13520366240169035</v>
      </c>
      <c r="U20" s="30">
        <f t="shared" si="1"/>
        <v>0.1742928039702234</v>
      </c>
      <c r="V20" s="25"/>
      <c r="W20" s="25"/>
      <c r="X20" s="26"/>
    </row>
    <row r="21" spans="2:24" ht="19.95" customHeight="1" x14ac:dyDescent="0.3">
      <c r="B21" s="7" t="s">
        <v>50</v>
      </c>
      <c r="C21" s="38">
        <v>31000</v>
      </c>
      <c r="D21" s="4">
        <v>12697</v>
      </c>
      <c r="E21" s="4">
        <v>12994</v>
      </c>
      <c r="F21" s="4">
        <v>4498</v>
      </c>
      <c r="G21" s="4">
        <v>4603</v>
      </c>
      <c r="H21" s="4">
        <v>2118</v>
      </c>
      <c r="I21" s="4">
        <v>1848</v>
      </c>
      <c r="J21" s="23">
        <v>0.04</v>
      </c>
      <c r="K21" s="23">
        <v>3.9E-2</v>
      </c>
      <c r="L21" s="23">
        <v>0.11600000000000001</v>
      </c>
      <c r="M21" s="24">
        <v>0.106</v>
      </c>
      <c r="O21" s="5" t="s">
        <v>51</v>
      </c>
      <c r="P21" s="6">
        <f>SUM(D93:D94)</f>
        <v>14031</v>
      </c>
      <c r="Q21" s="6">
        <f>SUM(E93:E94)</f>
        <v>15236</v>
      </c>
      <c r="R21" s="6">
        <f>SUM(F93:F94)</f>
        <v>885</v>
      </c>
      <c r="S21" s="6">
        <f>SUM(G93:G94)</f>
        <v>927</v>
      </c>
      <c r="T21" s="30">
        <f t="shared" si="0"/>
        <v>8.5881262917824719E-2</v>
      </c>
      <c r="U21" s="30">
        <f t="shared" si="1"/>
        <v>4.7457627118643986E-2</v>
      </c>
      <c r="V21" s="25"/>
      <c r="W21" s="25"/>
      <c r="X21" s="26"/>
    </row>
    <row r="22" spans="2:24" ht="19.95" customHeight="1" x14ac:dyDescent="0.3">
      <c r="B22" s="7" t="s">
        <v>52</v>
      </c>
      <c r="C22" s="38">
        <v>18000</v>
      </c>
      <c r="D22" s="4">
        <v>3552</v>
      </c>
      <c r="E22" s="4">
        <v>3718</v>
      </c>
      <c r="F22" s="4">
        <v>584</v>
      </c>
      <c r="G22" s="4">
        <v>698</v>
      </c>
      <c r="H22" s="4">
        <v>1234</v>
      </c>
      <c r="I22" s="4">
        <v>1472</v>
      </c>
      <c r="J22" s="23">
        <v>0.01</v>
      </c>
      <c r="K22" s="23">
        <v>0.02</v>
      </c>
      <c r="L22" s="23">
        <v>0.05</v>
      </c>
      <c r="M22" s="24">
        <v>0.05</v>
      </c>
      <c r="O22" s="5" t="s">
        <v>53</v>
      </c>
      <c r="P22" s="6" t="e">
        <f>SUM(P3:P21)</f>
        <v>#REF!</v>
      </c>
      <c r="Q22" s="6" t="e">
        <f>SUM(Q3:Q21)</f>
        <v>#REF!</v>
      </c>
      <c r="R22" s="6" t="e">
        <f>SUM(R3:R21)</f>
        <v>#REF!</v>
      </c>
      <c r="S22" s="6" t="e">
        <f>SUM(S3:S21)</f>
        <v>#REF!</v>
      </c>
      <c r="T22" s="30" t="e">
        <f t="shared" ref="T22" si="2">Q22/P22-1</f>
        <v>#REF!</v>
      </c>
      <c r="U22" s="30" t="e">
        <f t="shared" ref="U22" si="3">S22/R22-1</f>
        <v>#REF!</v>
      </c>
      <c r="V22" s="25"/>
      <c r="W22" s="25"/>
      <c r="X22" s="26"/>
    </row>
    <row r="23" spans="2:24" s="1" customFormat="1" ht="19.95" customHeight="1" x14ac:dyDescent="0.3">
      <c r="B23" s="7" t="s">
        <v>54</v>
      </c>
      <c r="C23" s="38">
        <v>11600</v>
      </c>
      <c r="D23" s="4">
        <v>2902</v>
      </c>
      <c r="E23" s="4">
        <v>3266</v>
      </c>
      <c r="F23" s="4">
        <v>141</v>
      </c>
      <c r="G23" s="4">
        <v>159</v>
      </c>
      <c r="H23" s="4">
        <v>661</v>
      </c>
      <c r="I23" s="4">
        <v>769</v>
      </c>
      <c r="J23" s="23">
        <v>0.02</v>
      </c>
      <c r="K23" s="23">
        <v>0.05</v>
      </c>
      <c r="L23" s="23">
        <v>0.05</v>
      </c>
      <c r="M23" s="24">
        <v>0.06</v>
      </c>
    </row>
    <row r="24" spans="2:24" ht="19.95" customHeight="1" x14ac:dyDescent="0.3">
      <c r="B24" s="7" t="s">
        <v>55</v>
      </c>
      <c r="C24" s="38">
        <v>8200</v>
      </c>
      <c r="D24" s="4">
        <v>3115</v>
      </c>
      <c r="E24" s="4">
        <v>3227</v>
      </c>
      <c r="F24" s="4">
        <v>92</v>
      </c>
      <c r="G24" s="4">
        <v>92</v>
      </c>
      <c r="H24" s="4">
        <v>256</v>
      </c>
      <c r="I24" s="4">
        <v>257</v>
      </c>
      <c r="J24" s="23">
        <v>0.01</v>
      </c>
      <c r="K24" s="23">
        <v>0.01</v>
      </c>
      <c r="L24" s="23">
        <v>0.02</v>
      </c>
      <c r="M24" s="24">
        <v>0.02</v>
      </c>
    </row>
    <row r="25" spans="2:24" ht="19.95" customHeight="1" x14ac:dyDescent="0.3">
      <c r="B25" s="7" t="s">
        <v>56</v>
      </c>
      <c r="C25" s="38">
        <v>29600</v>
      </c>
      <c r="D25" s="4">
        <v>1362.5953750000001</v>
      </c>
      <c r="E25" s="4">
        <v>1455.2786407000001</v>
      </c>
      <c r="F25" s="4">
        <v>149.41052460623018</v>
      </c>
      <c r="G25" s="4">
        <v>202.74436562523908</v>
      </c>
      <c r="H25" s="4">
        <v>1362.5953750000001</v>
      </c>
      <c r="I25" s="4">
        <v>1455.2786407000001</v>
      </c>
      <c r="J25" s="15">
        <v>3.3442982032651537E-2</v>
      </c>
      <c r="K25" s="15">
        <v>4.1226645657400855E-2</v>
      </c>
      <c r="L25" s="15">
        <v>8.7931764568519657E-2</v>
      </c>
      <c r="M25" s="16">
        <v>0.10467552170224692</v>
      </c>
    </row>
    <row r="26" spans="2:24" ht="19.95" customHeight="1" x14ac:dyDescent="0.3">
      <c r="B26" s="7" t="s">
        <v>57</v>
      </c>
      <c r="C26" s="38">
        <v>103500</v>
      </c>
      <c r="D26" s="4">
        <v>24884.531092427998</v>
      </c>
      <c r="E26" s="4">
        <v>29750</v>
      </c>
      <c r="F26" s="4">
        <v>456.18476121100002</v>
      </c>
      <c r="G26" s="4">
        <v>669.73631558213015</v>
      </c>
      <c r="H26" s="4">
        <v>4497.5322709804614</v>
      </c>
      <c r="I26" s="4">
        <v>6602.9401867393035</v>
      </c>
      <c r="J26" s="15">
        <v>1.5358986885160939E-2</v>
      </c>
      <c r="K26" s="15">
        <v>2.0177172054206508E-2</v>
      </c>
      <c r="L26" s="15">
        <v>5.0884146952253448E-2</v>
      </c>
      <c r="M26" s="16">
        <v>6.9511201181243876E-2</v>
      </c>
    </row>
    <row r="27" spans="2:24" ht="19.95" customHeight="1" x14ac:dyDescent="0.3">
      <c r="B27" s="7" t="s">
        <v>58</v>
      </c>
      <c r="C27" s="38">
        <v>55300</v>
      </c>
      <c r="D27" s="4">
        <v>5301</v>
      </c>
      <c r="E27" s="4">
        <v>7456</v>
      </c>
      <c r="F27" s="4">
        <v>345</v>
      </c>
      <c r="G27" s="4">
        <v>487</v>
      </c>
      <c r="H27" s="4">
        <v>5449</v>
      </c>
      <c r="I27" s="4">
        <v>7680</v>
      </c>
      <c r="J27" s="23">
        <v>5.5E-2</v>
      </c>
      <c r="K27" s="23">
        <v>6.8000000000000005E-2</v>
      </c>
      <c r="L27" s="23">
        <v>0.14399999999999999</v>
      </c>
      <c r="M27" s="24">
        <v>0.16800000000000001</v>
      </c>
    </row>
    <row r="28" spans="2:24" ht="19.95" customHeight="1" x14ac:dyDescent="0.3">
      <c r="B28" s="7" t="s">
        <v>59</v>
      </c>
      <c r="C28" s="38"/>
      <c r="D28" s="4"/>
      <c r="E28" s="4"/>
      <c r="F28" s="4"/>
      <c r="G28" s="4"/>
      <c r="H28" s="4"/>
      <c r="I28" s="4"/>
      <c r="J28" s="23"/>
      <c r="K28" s="23"/>
      <c r="L28" s="23"/>
      <c r="M28" s="24"/>
    </row>
    <row r="29" spans="2:24" s="1" customFormat="1" ht="19.95" customHeight="1" x14ac:dyDescent="0.3">
      <c r="B29" s="7" t="s">
        <v>60</v>
      </c>
      <c r="C29" s="38">
        <v>50500</v>
      </c>
      <c r="D29" s="4">
        <v>12718.876066612649</v>
      </c>
      <c r="E29" s="4">
        <v>13399.196423707397</v>
      </c>
      <c r="F29" s="4">
        <v>1271.1009916022006</v>
      </c>
      <c r="G29" s="4">
        <v>1449.7024049203785</v>
      </c>
      <c r="H29" s="4">
        <v>2834.7479741351553</v>
      </c>
      <c r="I29" s="4">
        <v>3233.0562107946321</v>
      </c>
      <c r="J29" s="15">
        <v>5.6286385959139484E-2</v>
      </c>
      <c r="K29" s="15">
        <v>5.8509938691326951E-2</v>
      </c>
      <c r="L29" s="15">
        <v>0.13680456498390456</v>
      </c>
      <c r="M29" s="16">
        <v>0.13365172109217169</v>
      </c>
    </row>
    <row r="30" spans="2:24" ht="19.95" customHeight="1" x14ac:dyDescent="0.3">
      <c r="B30" s="7" t="s">
        <v>61</v>
      </c>
      <c r="C30" s="38"/>
      <c r="D30" s="4"/>
      <c r="E30" s="4"/>
      <c r="F30" s="4"/>
      <c r="G30" s="4"/>
      <c r="H30" s="4"/>
      <c r="I30" s="4"/>
      <c r="J30" s="23"/>
      <c r="K30" s="23"/>
      <c r="L30" s="23"/>
      <c r="M30" s="24"/>
    </row>
    <row r="31" spans="2:24" ht="19.95" customHeight="1" x14ac:dyDescent="0.3">
      <c r="B31" s="7" t="s">
        <v>62</v>
      </c>
      <c r="C31" s="38"/>
      <c r="D31" s="4"/>
      <c r="E31" s="4"/>
      <c r="F31" s="4"/>
      <c r="G31" s="4"/>
      <c r="H31" s="4"/>
      <c r="I31" s="4"/>
      <c r="J31" s="23"/>
      <c r="K31" s="23"/>
      <c r="L31" s="23"/>
      <c r="M31" s="24"/>
    </row>
    <row r="32" spans="2:24" ht="19.95" customHeight="1" x14ac:dyDescent="0.3">
      <c r="B32" s="7" t="s">
        <v>63</v>
      </c>
      <c r="C32" s="38"/>
      <c r="D32" s="4"/>
      <c r="E32" s="4"/>
      <c r="F32" s="4"/>
      <c r="G32" s="4"/>
      <c r="H32" s="4"/>
      <c r="I32" s="4"/>
      <c r="J32" s="23"/>
      <c r="K32" s="23"/>
      <c r="L32" s="23"/>
      <c r="M32" s="24"/>
    </row>
    <row r="33" spans="2:13" ht="19.95" customHeight="1" x14ac:dyDescent="0.3">
      <c r="B33" s="7" t="s">
        <v>64</v>
      </c>
      <c r="C33" s="38">
        <v>46000</v>
      </c>
      <c r="D33" s="4">
        <v>7524</v>
      </c>
      <c r="E33" s="4">
        <v>10702</v>
      </c>
      <c r="F33" s="4">
        <v>1875</v>
      </c>
      <c r="G33" s="4">
        <v>2899</v>
      </c>
      <c r="H33" s="4">
        <v>1991</v>
      </c>
      <c r="I33" s="4">
        <v>3078</v>
      </c>
      <c r="J33" s="23">
        <v>4.3999999999999997E-2</v>
      </c>
      <c r="K33" s="23">
        <v>8.7999999999999995E-2</v>
      </c>
      <c r="L33" s="23">
        <v>9.9000000000000005E-2</v>
      </c>
      <c r="M33" s="24">
        <v>0.152</v>
      </c>
    </row>
    <row r="34" spans="2:13" ht="19.95" customHeight="1" x14ac:dyDescent="0.3">
      <c r="B34" s="7" t="s">
        <v>65</v>
      </c>
      <c r="C34" s="38"/>
      <c r="D34" s="4"/>
      <c r="E34" s="4"/>
      <c r="F34" s="4"/>
      <c r="G34" s="4"/>
      <c r="H34" s="4"/>
      <c r="I34" s="4"/>
      <c r="J34" s="23"/>
      <c r="K34" s="23"/>
      <c r="L34" s="23"/>
      <c r="M34" s="24"/>
    </row>
    <row r="35" spans="2:13" ht="19.95" customHeight="1" x14ac:dyDescent="0.3">
      <c r="B35" s="7" t="s">
        <v>66</v>
      </c>
      <c r="C35" s="39">
        <v>33170</v>
      </c>
      <c r="D35" s="4">
        <v>165901.42951885273</v>
      </c>
      <c r="E35" s="4">
        <v>202217.91523119761</v>
      </c>
      <c r="F35" s="4">
        <v>16619.449034336274</v>
      </c>
      <c r="G35" s="4">
        <v>23969.847557561898</v>
      </c>
      <c r="H35" s="4">
        <v>2165.2546357261276</v>
      </c>
      <c r="I35" s="4">
        <v>3122.8967599606258</v>
      </c>
      <c r="J35" s="15">
        <v>6.5524539132572071E-2</v>
      </c>
      <c r="K35" s="15">
        <v>8.2273935810922988E-2</v>
      </c>
      <c r="L35" s="15">
        <v>0.12661413405076116</v>
      </c>
      <c r="M35" s="16">
        <v>0.15442361086081355</v>
      </c>
    </row>
    <row r="36" spans="2:13" s="1" customFormat="1" ht="19.95" customHeight="1" x14ac:dyDescent="0.3">
      <c r="B36" s="7" t="s">
        <v>67</v>
      </c>
      <c r="C36" s="39">
        <v>19800</v>
      </c>
      <c r="D36" s="4">
        <v>36537.815078166997</v>
      </c>
      <c r="E36" s="4">
        <v>37331.299301207691</v>
      </c>
      <c r="F36" s="4">
        <v>731.5133621169997</v>
      </c>
      <c r="G36" s="4">
        <v>664.20510214447836</v>
      </c>
      <c r="H36" s="4">
        <v>1177.9938840689256</v>
      </c>
      <c r="I36" s="4">
        <v>1069.6039041983051</v>
      </c>
      <c r="J36" s="15">
        <v>3.6523614063099695E-2</v>
      </c>
      <c r="K36" s="15">
        <v>3.2124892749320948E-2</v>
      </c>
      <c r="L36" s="15">
        <v>6.2817749434749978E-2</v>
      </c>
      <c r="M36" s="16">
        <v>5.395111312000974E-2</v>
      </c>
    </row>
    <row r="37" spans="2:13" s="1" customFormat="1" ht="19.95" customHeight="1" x14ac:dyDescent="0.3">
      <c r="B37" s="7" t="s">
        <v>68</v>
      </c>
      <c r="C37" s="39">
        <v>15460</v>
      </c>
      <c r="D37" s="4">
        <v>15883.214803592056</v>
      </c>
      <c r="E37" s="4">
        <v>21456.58095631608</v>
      </c>
      <c r="F37" s="4">
        <v>290.42886860321357</v>
      </c>
      <c r="G37" s="4">
        <v>166.65350992134546</v>
      </c>
      <c r="H37" s="4">
        <v>648.90027687751524</v>
      </c>
      <c r="I37" s="4">
        <v>372.35110011847559</v>
      </c>
      <c r="J37" s="15">
        <v>1.8273469713185969E-2</v>
      </c>
      <c r="K37" s="15">
        <v>8.5143691124149618E-3</v>
      </c>
      <c r="L37" s="15">
        <v>4.5202140000407086E-2</v>
      </c>
      <c r="M37" s="16">
        <v>2.5282070196714475E-2</v>
      </c>
    </row>
    <row r="38" spans="2:13" s="1" customFormat="1" ht="19.95" customHeight="1" x14ac:dyDescent="0.3">
      <c r="B38" s="7" t="s">
        <v>69</v>
      </c>
      <c r="C38" s="39">
        <v>20825</v>
      </c>
      <c r="D38" s="4">
        <v>15811.478546286697</v>
      </c>
      <c r="E38" s="4">
        <v>16509.674213856757</v>
      </c>
      <c r="F38" s="4">
        <v>306.34074397082298</v>
      </c>
      <c r="G38" s="4">
        <v>248.39157543210879</v>
      </c>
      <c r="H38" s="4">
        <v>2055.8034980888142</v>
      </c>
      <c r="I38" s="4">
        <v>1667.1407542108341</v>
      </c>
      <c r="J38" s="15">
        <v>2.4645927796815115E-2</v>
      </c>
      <c r="K38" s="15">
        <v>1.9582981975092669E-2</v>
      </c>
      <c r="L38" s="15">
        <v>7.4345165568708571E-2</v>
      </c>
      <c r="M38" s="16">
        <v>5.6855649263106094E-2</v>
      </c>
    </row>
    <row r="39" spans="2:13" ht="19.95" customHeight="1" x14ac:dyDescent="0.3">
      <c r="B39" s="7" t="s">
        <v>70</v>
      </c>
      <c r="C39" s="39">
        <v>33000</v>
      </c>
      <c r="D39" s="14">
        <v>7960.4785229842291</v>
      </c>
      <c r="E39" s="14">
        <v>8915.1769667883073</v>
      </c>
      <c r="F39" s="14">
        <v>160.74792504313353</v>
      </c>
      <c r="G39" s="14">
        <v>179.3816285376698</v>
      </c>
      <c r="H39" s="14">
        <v>2454.7891233994455</v>
      </c>
      <c r="I39" s="14">
        <v>2739.345285818114</v>
      </c>
      <c r="J39" s="15">
        <v>6.2369488441456226E-2</v>
      </c>
      <c r="K39" s="15">
        <v>6.0642762581568997E-2</v>
      </c>
      <c r="L39" s="15">
        <v>0.12907842579620221</v>
      </c>
      <c r="M39" s="16">
        <v>0.12590328098073655</v>
      </c>
    </row>
    <row r="40" spans="2:13" ht="19.95" customHeight="1" x14ac:dyDescent="0.3">
      <c r="B40" s="7" t="s">
        <v>71</v>
      </c>
      <c r="C40" s="39">
        <v>172800</v>
      </c>
      <c r="D40" s="4">
        <v>5654.2080000000005</v>
      </c>
      <c r="E40" s="4">
        <v>5936.9183999999996</v>
      </c>
      <c r="F40" s="4">
        <v>1347.2963951151005</v>
      </c>
      <c r="G40" s="4">
        <v>1414.5610890033579</v>
      </c>
      <c r="H40" s="4">
        <v>16458.355206180273</v>
      </c>
      <c r="I40" s="4">
        <v>17280.049845059901</v>
      </c>
      <c r="J40" s="15">
        <v>0.37050308798805431</v>
      </c>
      <c r="K40" s="15">
        <v>0.38407283815747922</v>
      </c>
      <c r="L40" s="15">
        <v>0.43933599985548755</v>
      </c>
      <c r="M40" s="16">
        <v>0.4578474683812857</v>
      </c>
    </row>
    <row r="41" spans="2:13" ht="19.95" customHeight="1" x14ac:dyDescent="0.3">
      <c r="B41" s="7" t="s">
        <v>72</v>
      </c>
      <c r="C41" s="39">
        <v>72500</v>
      </c>
      <c r="D41" s="4">
        <v>6833.8869050717103</v>
      </c>
      <c r="E41" s="4">
        <v>7517.2755955788798</v>
      </c>
      <c r="F41" s="4">
        <v>1045.4563390947064</v>
      </c>
      <c r="G41" s="4">
        <v>1292.4804162689479</v>
      </c>
      <c r="H41" s="4">
        <v>6624.4776991207837</v>
      </c>
      <c r="I41" s="4">
        <v>9067.9836174445099</v>
      </c>
      <c r="J41" s="15">
        <v>0.12719351699978346</v>
      </c>
      <c r="K41" s="15">
        <v>0.13513048914229561</v>
      </c>
      <c r="L41" s="15">
        <v>0.22815323241919383</v>
      </c>
      <c r="M41" s="16">
        <v>0.22496855603157287</v>
      </c>
    </row>
    <row r="42" spans="2:13" ht="19.95" customHeight="1" x14ac:dyDescent="0.3">
      <c r="B42" s="7" t="s">
        <v>73</v>
      </c>
      <c r="C42" s="39">
        <v>16660</v>
      </c>
      <c r="D42" s="4">
        <v>7429</v>
      </c>
      <c r="E42" s="4">
        <v>8090</v>
      </c>
      <c r="F42" s="4">
        <v>299</v>
      </c>
      <c r="G42" s="4">
        <v>634</v>
      </c>
      <c r="H42" s="4">
        <v>786</v>
      </c>
      <c r="I42" s="4">
        <v>1666</v>
      </c>
      <c r="J42" s="15">
        <v>0.03</v>
      </c>
      <c r="K42" s="15">
        <v>7.0000000000000007E-2</v>
      </c>
      <c r="L42" s="15">
        <v>0.06</v>
      </c>
      <c r="M42" s="16">
        <v>0.11</v>
      </c>
    </row>
    <row r="43" spans="2:13" ht="19.95" customHeight="1" x14ac:dyDescent="0.3">
      <c r="B43" s="7" t="s">
        <v>74</v>
      </c>
      <c r="C43" s="39">
        <v>66000</v>
      </c>
      <c r="D43" s="4">
        <v>460</v>
      </c>
      <c r="E43" s="4">
        <v>578</v>
      </c>
      <c r="F43" s="4">
        <v>128</v>
      </c>
      <c r="G43" s="4">
        <v>162</v>
      </c>
      <c r="H43" s="4">
        <v>8339</v>
      </c>
      <c r="I43" s="4">
        <v>10593</v>
      </c>
      <c r="J43" s="15">
        <v>0.21</v>
      </c>
      <c r="K43" s="15">
        <v>0.21</v>
      </c>
      <c r="L43" s="23">
        <v>0.23</v>
      </c>
      <c r="M43" s="24">
        <v>0.23</v>
      </c>
    </row>
    <row r="44" spans="2:13" ht="19.95" customHeight="1" x14ac:dyDescent="0.3">
      <c r="B44" s="7" t="s">
        <v>75</v>
      </c>
      <c r="C44" s="39">
        <v>59800</v>
      </c>
      <c r="D44" s="4">
        <v>1565</v>
      </c>
      <c r="E44" s="4">
        <v>1893</v>
      </c>
      <c r="F44" s="4">
        <v>279</v>
      </c>
      <c r="G44" s="4">
        <v>325</v>
      </c>
      <c r="H44" s="4">
        <v>5972</v>
      </c>
      <c r="I44" s="4">
        <v>6960</v>
      </c>
      <c r="J44" s="15">
        <v>0.22</v>
      </c>
      <c r="K44" s="15">
        <v>0.2</v>
      </c>
      <c r="L44" s="23">
        <v>0.31</v>
      </c>
      <c r="M44" s="24">
        <v>0.26</v>
      </c>
    </row>
    <row r="45" spans="2:13" ht="19.95" customHeight="1" x14ac:dyDescent="0.3">
      <c r="B45" s="7" t="s">
        <v>77</v>
      </c>
      <c r="C45" s="38">
        <v>43400</v>
      </c>
      <c r="D45" s="4">
        <v>9058.8753553421357</v>
      </c>
      <c r="E45" s="4">
        <v>10941.443626429829</v>
      </c>
      <c r="F45" s="4">
        <v>5653.8170727370034</v>
      </c>
      <c r="G45" s="4">
        <v>5345.4751483788104</v>
      </c>
      <c r="H45" s="4">
        <v>2427.7621100005304</v>
      </c>
      <c r="I45" s="4">
        <v>2295.3593763871786</v>
      </c>
      <c r="J45" s="23">
        <v>0.11883644351894336</v>
      </c>
      <c r="K45" s="23">
        <v>0.10100680046802084</v>
      </c>
      <c r="L45" s="23">
        <v>9.7471086980432969E-2</v>
      </c>
      <c r="M45" s="23">
        <v>8.8141003493214617E-2</v>
      </c>
    </row>
    <row r="46" spans="2:13" s="1" customFormat="1" ht="19.95" customHeight="1" x14ac:dyDescent="0.3">
      <c r="B46" s="7" t="s">
        <v>78</v>
      </c>
      <c r="C46" s="38">
        <v>119600</v>
      </c>
      <c r="D46" s="4">
        <v>134994.89990607812</v>
      </c>
      <c r="E46" s="4">
        <v>148415.16943664712</v>
      </c>
      <c r="F46" s="4">
        <v>40196.022441763518</v>
      </c>
      <c r="G46" s="4">
        <v>52763.619237388506</v>
      </c>
      <c r="H46" s="4">
        <v>9766.6439102967925</v>
      </c>
      <c r="I46" s="4">
        <v>12820.260543358045</v>
      </c>
      <c r="J46" s="23">
        <v>6.4292370513674299E-2</v>
      </c>
      <c r="K46" s="23">
        <v>6.2028411545852695E-2</v>
      </c>
      <c r="L46" s="23">
        <v>0.15482630493367233</v>
      </c>
      <c r="M46" s="23">
        <v>0.17105222143792928</v>
      </c>
    </row>
    <row r="47" spans="2:13" ht="19.95" customHeight="1" x14ac:dyDescent="0.3">
      <c r="B47" s="7" t="s">
        <v>79</v>
      </c>
      <c r="C47" s="38">
        <v>28200</v>
      </c>
      <c r="D47" s="4">
        <v>3446.80594329216</v>
      </c>
      <c r="E47" s="4">
        <v>4830.7848074559297</v>
      </c>
      <c r="F47" s="4">
        <v>713.86289176948526</v>
      </c>
      <c r="G47" s="4">
        <v>849.95008792155875</v>
      </c>
      <c r="H47" s="4">
        <v>710.35563675360436</v>
      </c>
      <c r="I47" s="4">
        <v>845.77422762193987</v>
      </c>
      <c r="J47" s="23">
        <v>5.2999999999999999E-2</v>
      </c>
      <c r="K47" s="23">
        <v>6.3E-2</v>
      </c>
      <c r="L47" s="23">
        <v>2.8684307007739732E-2</v>
      </c>
      <c r="M47" s="23">
        <v>3.207783727625018E-2</v>
      </c>
    </row>
    <row r="48" spans="2:13" ht="19.95" customHeight="1" x14ac:dyDescent="0.3">
      <c r="B48" s="7" t="s">
        <v>80</v>
      </c>
      <c r="C48" s="38">
        <v>50100</v>
      </c>
      <c r="D48" s="4">
        <v>6222.1641233540277</v>
      </c>
      <c r="E48" s="4">
        <v>5330.8803415454358</v>
      </c>
      <c r="F48" s="4">
        <v>725.23561133541443</v>
      </c>
      <c r="G48" s="4">
        <v>870.94116161800696</v>
      </c>
      <c r="H48" s="4">
        <v>1808.0260656809032</v>
      </c>
      <c r="I48" s="4">
        <v>2171.2727522855807</v>
      </c>
      <c r="J48" s="23">
        <v>7.1915462284802334E-2</v>
      </c>
      <c r="K48" s="23">
        <v>6.909578966536789E-2</v>
      </c>
      <c r="L48" s="23">
        <v>3.7459441717367245E-2</v>
      </c>
      <c r="M48" s="23">
        <v>3.7958048827590372E-2</v>
      </c>
    </row>
    <row r="49" spans="2:13" ht="19.95" customHeight="1" x14ac:dyDescent="0.3">
      <c r="B49" s="7" t="s">
        <v>81</v>
      </c>
      <c r="C49" s="38">
        <v>39900</v>
      </c>
      <c r="D49" s="4">
        <v>4682.130234860334</v>
      </c>
      <c r="E49" s="4">
        <v>5034.9575976909227</v>
      </c>
      <c r="F49" s="4">
        <v>862.58648541269508</v>
      </c>
      <c r="G49" s="4">
        <v>1199.4569864836469</v>
      </c>
      <c r="H49" s="4">
        <v>724.65376285159505</v>
      </c>
      <c r="I49" s="4">
        <v>1007.6566620657809</v>
      </c>
      <c r="J49" s="23">
        <v>4.3290241278567544E-2</v>
      </c>
      <c r="K49" s="23">
        <v>3.4448856916524148E-2</v>
      </c>
      <c r="L49" s="23">
        <v>7.0817655179672728E-2</v>
      </c>
      <c r="M49" s="23">
        <v>6.7012517375022715E-2</v>
      </c>
    </row>
    <row r="50" spans="2:13" ht="19.95" customHeight="1" x14ac:dyDescent="0.3">
      <c r="B50" s="7" t="s">
        <v>82</v>
      </c>
      <c r="C50" s="38">
        <v>21500</v>
      </c>
      <c r="D50" s="4">
        <v>3963.332954</v>
      </c>
      <c r="E50" s="4">
        <v>6616.6074689289999</v>
      </c>
      <c r="F50" s="4">
        <v>997.10902998901179</v>
      </c>
      <c r="G50" s="4">
        <v>2357.5430375109891</v>
      </c>
      <c r="H50" s="4">
        <v>1492.1960328154205</v>
      </c>
      <c r="I50" s="4">
        <v>3528.116045448191</v>
      </c>
      <c r="J50" s="23">
        <v>6.5613378397803915E-2</v>
      </c>
      <c r="K50" s="23">
        <v>0.11976408306534018</v>
      </c>
      <c r="L50" s="23">
        <v>8.1866561455497228E-2</v>
      </c>
      <c r="M50" s="23">
        <v>0.14479934769529168</v>
      </c>
    </row>
    <row r="51" spans="2:13" ht="19.95" customHeight="1" x14ac:dyDescent="0.3">
      <c r="B51" s="7" t="s">
        <v>83</v>
      </c>
      <c r="C51" s="38">
        <v>27200</v>
      </c>
      <c r="D51" s="4">
        <v>4128.5653923219388</v>
      </c>
      <c r="E51" s="4">
        <v>3710.4998353005722</v>
      </c>
      <c r="F51" s="4">
        <v>326.46843761060239</v>
      </c>
      <c r="G51" s="4">
        <v>241.44715640708128</v>
      </c>
      <c r="H51" s="4">
        <v>374.13406434095725</v>
      </c>
      <c r="I51" s="4">
        <v>276.69935449592884</v>
      </c>
      <c r="J51" s="23">
        <v>1.4133198102188398E-2</v>
      </c>
      <c r="K51" s="23">
        <v>8.9616956577794581E-3</v>
      </c>
      <c r="L51" s="23">
        <v>2.9000000000000001E-2</v>
      </c>
      <c r="M51" s="23">
        <v>2.3E-2</v>
      </c>
    </row>
    <row r="52" spans="2:13" ht="19.95" customHeight="1" x14ac:dyDescent="0.3">
      <c r="B52" s="7" t="s">
        <v>84</v>
      </c>
      <c r="C52" s="38" t="s">
        <v>76</v>
      </c>
      <c r="D52" s="4">
        <v>1827.8176433444203</v>
      </c>
      <c r="E52" s="4">
        <v>1354.3499726502753</v>
      </c>
      <c r="F52" s="4">
        <v>228.37928762537547</v>
      </c>
      <c r="G52" s="4">
        <v>106.30679464086992</v>
      </c>
      <c r="H52" s="4">
        <v>2019.1388695370081</v>
      </c>
      <c r="I52" s="4">
        <v>939.8758678473921</v>
      </c>
      <c r="J52" s="23">
        <v>0.10457958079875664</v>
      </c>
      <c r="K52" s="23">
        <v>5.1268580743817994E-2</v>
      </c>
      <c r="L52" s="23">
        <v>0.10004128034056897</v>
      </c>
      <c r="M52" s="24">
        <v>3.6238867677803696E-2</v>
      </c>
    </row>
    <row r="53" spans="2:13" ht="19.95" customHeight="1" x14ac:dyDescent="0.3">
      <c r="B53" s="7" t="s">
        <v>85</v>
      </c>
      <c r="C53" s="38">
        <v>107800</v>
      </c>
      <c r="D53" s="4">
        <v>11440.471024859911</v>
      </c>
      <c r="E53" s="4">
        <v>12695.154644139111</v>
      </c>
      <c r="F53" s="4">
        <v>3367.974189914079</v>
      </c>
      <c r="G53" s="4">
        <v>3441.8806292203194</v>
      </c>
      <c r="H53" s="4">
        <v>8868.2408811366276</v>
      </c>
      <c r="I53" s="4">
        <v>9062.8445418171632</v>
      </c>
      <c r="J53" s="23">
        <v>0.20906926317989041</v>
      </c>
      <c r="K53" s="23">
        <v>0.18411432953792847</v>
      </c>
      <c r="L53" s="23">
        <v>0.24009875995343294</v>
      </c>
      <c r="M53" s="24">
        <v>0.21036585851508735</v>
      </c>
    </row>
    <row r="54" spans="2:13" ht="19.95" customHeight="1" x14ac:dyDescent="0.3">
      <c r="B54" s="7" t="s">
        <v>86</v>
      </c>
      <c r="C54" s="38">
        <v>37600</v>
      </c>
      <c r="D54" s="4">
        <v>3547.9340653289105</v>
      </c>
      <c r="E54" s="4">
        <v>3756.4503225750905</v>
      </c>
      <c r="F54" s="4">
        <v>346.33154719719386</v>
      </c>
      <c r="G54" s="4">
        <v>358.65434155138234</v>
      </c>
      <c r="H54" s="4">
        <v>3585.2127039046982</v>
      </c>
      <c r="I54" s="4">
        <v>3712.777862850749</v>
      </c>
      <c r="J54" s="15">
        <v>0.10205519576711451</v>
      </c>
      <c r="K54" s="15">
        <v>0.10210113396487641</v>
      </c>
      <c r="L54" s="15">
        <v>0.1654582506390673</v>
      </c>
      <c r="M54" s="16">
        <v>0.17387963332288744</v>
      </c>
    </row>
    <row r="55" spans="2:13" ht="19.95" customHeight="1" x14ac:dyDescent="0.3">
      <c r="B55" s="7" t="s">
        <v>87</v>
      </c>
      <c r="C55" s="38">
        <v>36300</v>
      </c>
      <c r="D55" s="4">
        <v>17145.034012093194</v>
      </c>
      <c r="E55" s="4">
        <v>16328.649211902513</v>
      </c>
      <c r="F55" s="4">
        <v>2058.9333292625961</v>
      </c>
      <c r="G55" s="4">
        <v>1707.7278460892405</v>
      </c>
      <c r="H55" s="4">
        <v>2916.8870361672593</v>
      </c>
      <c r="I55" s="4">
        <v>2419.3348782903863</v>
      </c>
      <c r="J55" s="23">
        <v>0.12675364205113937</v>
      </c>
      <c r="K55" s="23">
        <v>0.10049340870803634</v>
      </c>
      <c r="L55" s="23">
        <v>0.18791418252755568</v>
      </c>
      <c r="M55" s="24">
        <v>0.14713786280394545</v>
      </c>
    </row>
    <row r="56" spans="2:13" ht="19.95" customHeight="1" x14ac:dyDescent="0.3">
      <c r="B56" s="7" t="s">
        <v>88</v>
      </c>
      <c r="C56" s="38">
        <v>32800</v>
      </c>
      <c r="D56" s="4">
        <v>5640.5802800073279</v>
      </c>
      <c r="E56" s="4">
        <v>5669.9319794163303</v>
      </c>
      <c r="F56" s="4">
        <v>658.25322570787307</v>
      </c>
      <c r="G56" s="4">
        <v>334.07717660255179</v>
      </c>
      <c r="H56" s="4">
        <v>4505.1925003567394</v>
      </c>
      <c r="I56" s="4">
        <v>2286.4787163809697</v>
      </c>
      <c r="J56" s="23">
        <v>0.33521671519485274</v>
      </c>
      <c r="K56" s="23">
        <v>0.14967475063722654</v>
      </c>
      <c r="L56" s="23">
        <v>0.27827817130911298</v>
      </c>
      <c r="M56" s="24">
        <v>0.12594993256019971</v>
      </c>
    </row>
    <row r="57" spans="2:13" ht="19.95" customHeight="1" x14ac:dyDescent="0.3">
      <c r="B57" s="7" t="s">
        <v>89</v>
      </c>
      <c r="C57" s="38">
        <v>26000</v>
      </c>
      <c r="D57" s="4">
        <v>16829.539666891847</v>
      </c>
      <c r="E57" s="4">
        <v>16665.591694411953</v>
      </c>
      <c r="F57" s="4">
        <v>1077.4384185362028</v>
      </c>
      <c r="G57" s="4">
        <v>934.88569388658266</v>
      </c>
      <c r="H57" s="4">
        <v>1486.0028862152842</v>
      </c>
      <c r="I57" s="4">
        <v>1422.943882231727</v>
      </c>
      <c r="J57" s="23">
        <v>5.5103393335174271E-2</v>
      </c>
      <c r="K57" s="23">
        <v>4.2057464431105994E-2</v>
      </c>
      <c r="L57" s="23">
        <v>7.2340854836369831E-2</v>
      </c>
      <c r="M57" s="24">
        <v>6.4715444476503153E-2</v>
      </c>
    </row>
    <row r="58" spans="2:13" ht="19.95" customHeight="1" x14ac:dyDescent="0.3">
      <c r="B58" s="7" t="s">
        <v>90</v>
      </c>
      <c r="C58" s="38">
        <v>34600</v>
      </c>
      <c r="D58" s="4">
        <v>9869.4428029689989</v>
      </c>
      <c r="E58" s="4">
        <v>11780.787559928182</v>
      </c>
      <c r="F58" s="4">
        <v>977.81106927609471</v>
      </c>
      <c r="G58" s="4">
        <v>1169.8327034452732</v>
      </c>
      <c r="H58" s="4">
        <v>1642.8582675159023</v>
      </c>
      <c r="I58" s="4">
        <v>1965.4812558916599</v>
      </c>
      <c r="J58" s="23">
        <v>6.7601104655905617E-2</v>
      </c>
      <c r="K58" s="23">
        <v>7.5958210016095526E-2</v>
      </c>
      <c r="L58" s="23">
        <v>4.2874131125809699E-2</v>
      </c>
      <c r="M58" s="24">
        <v>5.1934305384975107E-2</v>
      </c>
    </row>
    <row r="59" spans="2:13" ht="19.95" customHeight="1" x14ac:dyDescent="0.3">
      <c r="B59" s="7" t="s">
        <v>91</v>
      </c>
      <c r="C59" s="38">
        <v>11200</v>
      </c>
      <c r="D59" s="4">
        <v>132302.84405080287</v>
      </c>
      <c r="E59" s="4">
        <v>149141.28270607415</v>
      </c>
      <c r="F59" s="4">
        <v>406.90638067601998</v>
      </c>
      <c r="G59" s="4">
        <v>566.90968518781369</v>
      </c>
      <c r="H59" s="4">
        <v>393.45037775673944</v>
      </c>
      <c r="I59" s="4">
        <v>548.16252677220427</v>
      </c>
      <c r="J59" s="23">
        <v>9.6521479396062711E-3</v>
      </c>
      <c r="K59" s="23">
        <v>1.2978766102820151E-2</v>
      </c>
      <c r="L59" s="23">
        <v>3.5176267602640997E-2</v>
      </c>
      <c r="M59" s="24">
        <v>4.7642740211331538E-2</v>
      </c>
    </row>
    <row r="60" spans="2:13" ht="19.95" customHeight="1" x14ac:dyDescent="0.3">
      <c r="B60" s="7" t="s">
        <v>92</v>
      </c>
      <c r="C60" s="38">
        <v>41600</v>
      </c>
      <c r="D60" s="4">
        <v>36151</v>
      </c>
      <c r="E60" s="4">
        <v>43138</v>
      </c>
      <c r="F60" s="4">
        <v>1380</v>
      </c>
      <c r="G60" s="4">
        <v>1534</v>
      </c>
      <c r="H60" s="4">
        <v>2024</v>
      </c>
      <c r="I60" s="4">
        <v>2250</v>
      </c>
      <c r="J60" s="23">
        <v>4.2999999999999997E-2</v>
      </c>
      <c r="K60" s="23">
        <v>0.05</v>
      </c>
      <c r="L60" s="23">
        <v>9.2999999999999999E-2</v>
      </c>
      <c r="M60" s="24">
        <v>0.11</v>
      </c>
    </row>
    <row r="61" spans="2:13" ht="19.95" customHeight="1" x14ac:dyDescent="0.3">
      <c r="B61" s="7" t="s">
        <v>93</v>
      </c>
      <c r="C61" s="38">
        <v>75200</v>
      </c>
      <c r="D61" s="4">
        <v>103433</v>
      </c>
      <c r="E61" s="4">
        <v>118349</v>
      </c>
      <c r="F61" s="4">
        <v>12321</v>
      </c>
      <c r="G61" s="4">
        <v>11576</v>
      </c>
      <c r="H61" s="4">
        <v>5260</v>
      </c>
      <c r="I61" s="4">
        <v>4941</v>
      </c>
      <c r="J61" s="23">
        <v>0.158</v>
      </c>
      <c r="K61" s="23">
        <v>0.14199999999999999</v>
      </c>
      <c r="L61" s="23">
        <v>0.18099999999999999</v>
      </c>
      <c r="M61" s="24">
        <v>0.151</v>
      </c>
    </row>
    <row r="62" spans="2:13" ht="19.95" customHeight="1" x14ac:dyDescent="0.3">
      <c r="B62" s="7" t="s">
        <v>94</v>
      </c>
      <c r="C62" s="38">
        <v>44300</v>
      </c>
      <c r="D62" s="4">
        <v>302098.61950020952</v>
      </c>
      <c r="E62" s="4">
        <v>313962.95613464032</v>
      </c>
      <c r="F62" s="4">
        <v>2645.5946244909437</v>
      </c>
      <c r="G62" s="4">
        <v>2746.0023941578411</v>
      </c>
      <c r="H62" s="4">
        <v>2044.6669947375713</v>
      </c>
      <c r="I62" s="4">
        <v>2122.2678678088268</v>
      </c>
      <c r="J62" s="15">
        <v>3.2388475981471695E-2</v>
      </c>
      <c r="K62" s="15">
        <v>3.2879855522443109E-2</v>
      </c>
      <c r="L62" s="15">
        <v>8.9073246786836396E-2</v>
      </c>
      <c r="M62" s="16">
        <v>8.9906330071938989E-2</v>
      </c>
    </row>
    <row r="63" spans="2:13" ht="19.95" customHeight="1" x14ac:dyDescent="0.3">
      <c r="B63" s="7" t="s">
        <v>95</v>
      </c>
      <c r="C63" s="38">
        <v>16000</v>
      </c>
      <c r="D63" s="4">
        <v>135347.68688729659</v>
      </c>
      <c r="E63" s="4">
        <v>129157.22240304772</v>
      </c>
      <c r="F63" s="4">
        <v>3146.3533735964238</v>
      </c>
      <c r="G63" s="4">
        <v>3290.0191525636119</v>
      </c>
      <c r="H63" s="4">
        <v>628.35241559969268</v>
      </c>
      <c r="I63" s="4">
        <v>657.04364272331941</v>
      </c>
      <c r="J63" s="23">
        <v>4.4715603482876481E-2</v>
      </c>
      <c r="K63" s="23">
        <v>4.5055636921147224E-2</v>
      </c>
      <c r="L63" s="23">
        <v>3.3738032063820436E-2</v>
      </c>
      <c r="M63" s="24">
        <v>3.2993178493318634E-2</v>
      </c>
    </row>
    <row r="64" spans="2:13" ht="19.95" customHeight="1" x14ac:dyDescent="0.3">
      <c r="B64" s="7" t="s">
        <v>96</v>
      </c>
      <c r="C64" s="38">
        <v>18600</v>
      </c>
      <c r="D64" s="4">
        <v>4985.7743935386252</v>
      </c>
      <c r="E64" s="4">
        <v>5208.3355984223908</v>
      </c>
      <c r="F64" s="4">
        <v>121.74307699780744</v>
      </c>
      <c r="G64" s="4">
        <v>160.51910758974606</v>
      </c>
      <c r="H64" s="4">
        <v>726.53336393095606</v>
      </c>
      <c r="I64" s="4">
        <v>957.93937600635468</v>
      </c>
      <c r="J64" s="23">
        <v>2.8223375846512615E-2</v>
      </c>
      <c r="K64" s="23">
        <v>3.5673022061731681E-2</v>
      </c>
      <c r="L64" s="23">
        <v>4.9043957405466847E-2</v>
      </c>
      <c r="M64" s="24">
        <v>6.2543472935712746E-2</v>
      </c>
    </row>
    <row r="65" spans="2:13" ht="19.95" customHeight="1" x14ac:dyDescent="0.3">
      <c r="B65" s="7" t="s">
        <v>97</v>
      </c>
      <c r="C65" s="38">
        <v>15400</v>
      </c>
      <c r="D65" s="4">
        <v>4235.3129952421423</v>
      </c>
      <c r="E65" s="4">
        <v>4562.7023121278098</v>
      </c>
      <c r="F65" s="4">
        <v>84.425590431858851</v>
      </c>
      <c r="G65" s="4">
        <v>95.761625110093675</v>
      </c>
      <c r="H65" s="4">
        <v>602.11588810354738</v>
      </c>
      <c r="I65" s="4">
        <v>682.96349074325917</v>
      </c>
      <c r="J65" s="23">
        <v>2.161835087448534E-2</v>
      </c>
      <c r="K65" s="23">
        <v>2.3539842066644064E-2</v>
      </c>
      <c r="L65" s="23">
        <v>5.8035378233556041E-2</v>
      </c>
      <c r="M65" s="24">
        <v>6.2828948082097352E-2</v>
      </c>
    </row>
    <row r="66" spans="2:13" ht="19.95" customHeight="1" x14ac:dyDescent="0.3">
      <c r="B66" s="7" t="s">
        <v>98</v>
      </c>
      <c r="C66" s="38">
        <v>48300</v>
      </c>
      <c r="D66" s="4">
        <v>4316.29878547101</v>
      </c>
      <c r="E66" s="4">
        <v>4775.8149196741415</v>
      </c>
      <c r="F66" s="4">
        <v>837</v>
      </c>
      <c r="G66" s="4">
        <v>947.45334034022403</v>
      </c>
      <c r="H66" s="4">
        <v>3518.1734237065994</v>
      </c>
      <c r="I66" s="4">
        <v>4308.5645308786898</v>
      </c>
      <c r="J66" s="15">
        <v>5.7000000000000002E-2</v>
      </c>
      <c r="K66" s="15">
        <v>6.7709650563654855E-2</v>
      </c>
      <c r="L66" s="15">
        <v>0.13800000000000001</v>
      </c>
      <c r="M66" s="16">
        <v>0.14715987220406468</v>
      </c>
    </row>
    <row r="67" spans="2:13" ht="19.95" customHeight="1" x14ac:dyDescent="0.3">
      <c r="B67" s="7" t="s">
        <v>99</v>
      </c>
      <c r="C67" s="38">
        <v>67900</v>
      </c>
      <c r="D67" s="4">
        <v>11796.90207541897</v>
      </c>
      <c r="E67" s="4">
        <v>11890.67721137397</v>
      </c>
      <c r="F67" s="4">
        <v>2859.8396790197257</v>
      </c>
      <c r="G67" s="4">
        <v>3905.7832627919897</v>
      </c>
      <c r="H67" s="4">
        <v>5279.7803018223522</v>
      </c>
      <c r="I67" s="4">
        <v>7210.7809697727971</v>
      </c>
      <c r="J67" s="15">
        <v>9.1538170062839291E-2</v>
      </c>
      <c r="K67" s="15">
        <v>0.11098525902181865</v>
      </c>
      <c r="L67" s="15">
        <v>0.13201222866344617</v>
      </c>
      <c r="M67" s="16">
        <v>0.15025323731181053</v>
      </c>
    </row>
    <row r="68" spans="2:13" ht="19.95" customHeight="1" x14ac:dyDescent="0.3">
      <c r="B68" s="7" t="s">
        <v>100</v>
      </c>
      <c r="C68" s="38">
        <v>17100</v>
      </c>
      <c r="D68" s="4">
        <v>9945.7721821259802</v>
      </c>
      <c r="E68" s="4">
        <v>11188.841855147401</v>
      </c>
      <c r="F68" s="4">
        <v>462.16080767784547</v>
      </c>
      <c r="G68" s="4">
        <v>687.02088516522349</v>
      </c>
      <c r="H68" s="4">
        <v>1027.0240170618788</v>
      </c>
      <c r="I68" s="4">
        <v>1526.7130781449412</v>
      </c>
      <c r="J68" s="15">
        <v>5.9129475518356012E-2</v>
      </c>
      <c r="K68" s="15">
        <v>8.157046275636344E-2</v>
      </c>
      <c r="L68" s="15">
        <v>7.3388370340297757E-2</v>
      </c>
      <c r="M68" s="16">
        <v>9.9973100503089316E-2</v>
      </c>
    </row>
    <row r="69" spans="2:13" ht="19.95" customHeight="1" x14ac:dyDescent="0.3">
      <c r="B69" s="7" t="s">
        <v>101</v>
      </c>
      <c r="C69" s="38">
        <v>15200</v>
      </c>
      <c r="D69" s="4">
        <v>39145.579899185817</v>
      </c>
      <c r="E69" s="4">
        <v>60242.130399245376</v>
      </c>
      <c r="F69" s="4">
        <v>2031.3663773952219</v>
      </c>
      <c r="G69" s="4">
        <v>1952.182221185705</v>
      </c>
      <c r="H69" s="4">
        <v>662.16164379829695</v>
      </c>
      <c r="I69" s="4">
        <v>636</v>
      </c>
      <c r="J69" s="15">
        <v>2.8188549303057957E-2</v>
      </c>
      <c r="K69" s="15">
        <v>2.4265626233256569E-2</v>
      </c>
      <c r="L69" s="15">
        <v>6.5753352779276547E-2</v>
      </c>
      <c r="M69" s="16">
        <v>5.6208428450339548E-2</v>
      </c>
    </row>
    <row r="70" spans="2:13" ht="19.95" customHeight="1" x14ac:dyDescent="0.3">
      <c r="B70" s="7" t="s">
        <v>102</v>
      </c>
      <c r="C70" s="38">
        <v>33200</v>
      </c>
      <c r="D70" s="4">
        <v>2735.6109740280585</v>
      </c>
      <c r="E70" s="4">
        <v>3588.3864577159652</v>
      </c>
      <c r="F70" s="4">
        <v>672.23293403444438</v>
      </c>
      <c r="G70" s="4">
        <v>1338.0123059310822</v>
      </c>
      <c r="H70" s="4">
        <v>1998.9085163081902</v>
      </c>
      <c r="I70" s="4">
        <v>3978.6271362803514</v>
      </c>
      <c r="J70" s="15">
        <v>6.3004236732641369E-2</v>
      </c>
      <c r="K70" s="15">
        <v>0.10350717989837492</v>
      </c>
      <c r="L70" s="15">
        <v>0.10446321173516149</v>
      </c>
      <c r="M70" s="16">
        <v>0.17983458465319138</v>
      </c>
    </row>
    <row r="71" spans="2:13" ht="19.95" customHeight="1" x14ac:dyDescent="0.3">
      <c r="B71" s="7" t="s">
        <v>103</v>
      </c>
      <c r="C71" s="38">
        <v>25700</v>
      </c>
      <c r="D71" s="4">
        <v>12330.845490566036</v>
      </c>
      <c r="E71" s="4">
        <v>13398.607193238753</v>
      </c>
      <c r="F71" s="4">
        <v>642.25674496026613</v>
      </c>
      <c r="G71" s="4">
        <v>987.72548998480625</v>
      </c>
      <c r="H71" s="4">
        <v>1561.7565046208204</v>
      </c>
      <c r="I71" s="4">
        <v>2401.8225123645711</v>
      </c>
      <c r="J71" s="15">
        <v>4.170066726773973E-2</v>
      </c>
      <c r="K71" s="15">
        <v>6.0424233528625013E-2</v>
      </c>
      <c r="L71" s="15">
        <v>0.10712703743176888</v>
      </c>
      <c r="M71" s="16">
        <v>0.13545447526608903</v>
      </c>
    </row>
    <row r="72" spans="2:13" ht="19.95" customHeight="1" x14ac:dyDescent="0.3">
      <c r="B72" s="7" t="s">
        <v>104</v>
      </c>
      <c r="C72" s="38">
        <v>53100</v>
      </c>
      <c r="D72" s="4">
        <v>38457.131761515004</v>
      </c>
      <c r="E72" s="4">
        <v>41071.365163905226</v>
      </c>
      <c r="F72" s="4">
        <v>3164.7948590596766</v>
      </c>
      <c r="G72" s="4">
        <v>1812.7786423100592</v>
      </c>
      <c r="H72" s="4">
        <v>3507.2030974652039</v>
      </c>
      <c r="I72" s="4">
        <v>2008.9083660915801</v>
      </c>
      <c r="J72" s="15">
        <v>8.0038147664031986E-2</v>
      </c>
      <c r="K72" s="15">
        <v>5.5131301327027607E-2</v>
      </c>
      <c r="L72" s="15">
        <v>0.20373257408009374</v>
      </c>
      <c r="M72" s="16">
        <v>0.10089216956908574</v>
      </c>
    </row>
    <row r="73" spans="2:13" ht="19.95" customHeight="1" x14ac:dyDescent="0.3">
      <c r="B73" s="7" t="s">
        <v>105</v>
      </c>
      <c r="C73" s="38">
        <v>26400</v>
      </c>
      <c r="D73" s="4">
        <v>7150.1988154640412</v>
      </c>
      <c r="E73" s="4">
        <v>7629.4628348217248</v>
      </c>
      <c r="F73" s="4">
        <v>689.03205885411103</v>
      </c>
      <c r="G73" s="4">
        <v>745.72593486634526</v>
      </c>
      <c r="H73" s="4">
        <v>2393.5027214583083</v>
      </c>
      <c r="I73" s="4">
        <v>2590.4412307505645</v>
      </c>
      <c r="J73" s="15">
        <v>7.4588707167973889E-2</v>
      </c>
      <c r="K73" s="15">
        <v>7.1631486632117811E-2</v>
      </c>
      <c r="L73" s="15">
        <v>0.14735403555856147</v>
      </c>
      <c r="M73" s="16">
        <v>0.129652060898333</v>
      </c>
    </row>
    <row r="74" spans="2:13" ht="19.95" customHeight="1" x14ac:dyDescent="0.3">
      <c r="B74" s="7" t="s">
        <v>106</v>
      </c>
      <c r="C74" s="38">
        <v>40700</v>
      </c>
      <c r="D74" s="4">
        <v>1165.9000000000001</v>
      </c>
      <c r="E74" s="4">
        <v>3489.06</v>
      </c>
      <c r="F74" s="4">
        <v>77.355116671919305</v>
      </c>
      <c r="G74" s="4">
        <v>186.89352602723565</v>
      </c>
      <c r="H74" s="4">
        <v>1146.0017284728785</v>
      </c>
      <c r="I74" s="4">
        <v>2768.7929781812686</v>
      </c>
      <c r="J74" s="15">
        <v>3.4369501536025894E-2</v>
      </c>
      <c r="K74" s="15">
        <v>6.2434140135836008E-2</v>
      </c>
      <c r="L74" s="15">
        <v>5.739883119181214E-2</v>
      </c>
      <c r="M74" s="16">
        <v>0.12629631614399026</v>
      </c>
    </row>
    <row r="75" spans="2:13" ht="19.95" customHeight="1" x14ac:dyDescent="0.3">
      <c r="B75" s="7" t="s">
        <v>107</v>
      </c>
      <c r="C75" s="38">
        <v>32200</v>
      </c>
      <c r="D75" s="4">
        <v>115905</v>
      </c>
      <c r="E75" s="4">
        <v>130981</v>
      </c>
      <c r="F75" s="4">
        <v>8172</v>
      </c>
      <c r="G75" s="4">
        <v>9085</v>
      </c>
      <c r="H75" s="4">
        <v>2624</v>
      </c>
      <c r="I75" s="4">
        <v>2917</v>
      </c>
      <c r="J75" s="15">
        <v>0.11</v>
      </c>
      <c r="K75" s="15">
        <v>0.12</v>
      </c>
      <c r="L75" s="23">
        <v>2.71</v>
      </c>
      <c r="M75" s="24">
        <v>1.1299999999999999</v>
      </c>
    </row>
    <row r="76" spans="2:13" ht="19.95" customHeight="1" x14ac:dyDescent="0.3">
      <c r="B76" s="7" t="s">
        <v>108</v>
      </c>
      <c r="C76" s="38">
        <v>36000</v>
      </c>
      <c r="D76" s="4">
        <v>6741</v>
      </c>
      <c r="E76" s="4">
        <v>7433</v>
      </c>
      <c r="F76" s="4">
        <v>1053</v>
      </c>
      <c r="G76" s="4">
        <v>1277</v>
      </c>
      <c r="H76" s="4">
        <v>3955</v>
      </c>
      <c r="I76" s="4">
        <v>4796</v>
      </c>
      <c r="J76" s="15">
        <v>0.18</v>
      </c>
      <c r="K76" s="15">
        <v>0.18</v>
      </c>
      <c r="L76" s="15">
        <v>0.28999999999999998</v>
      </c>
      <c r="M76" s="16">
        <v>0.28000000000000003</v>
      </c>
    </row>
    <row r="77" spans="2:13" ht="19.95" customHeight="1" x14ac:dyDescent="0.3">
      <c r="B77" s="7" t="s">
        <v>109</v>
      </c>
      <c r="C77" s="38">
        <v>60000</v>
      </c>
      <c r="D77" s="4">
        <v>12392</v>
      </c>
      <c r="E77" s="4">
        <v>14288</v>
      </c>
      <c r="F77" s="4">
        <v>1428</v>
      </c>
      <c r="G77" s="4">
        <v>1592</v>
      </c>
      <c r="H77" s="4">
        <v>6491</v>
      </c>
      <c r="I77" s="4">
        <v>7234</v>
      </c>
      <c r="J77" s="15">
        <v>0.09</v>
      </c>
      <c r="K77" s="15">
        <v>0.09</v>
      </c>
      <c r="L77" s="15">
        <v>0.13</v>
      </c>
      <c r="M77" s="16">
        <v>0.13</v>
      </c>
    </row>
    <row r="78" spans="2:13" ht="19.95" customHeight="1" x14ac:dyDescent="0.3">
      <c r="B78" s="7" t="s">
        <v>110</v>
      </c>
      <c r="C78" s="38">
        <v>19100</v>
      </c>
      <c r="D78" s="4">
        <v>14470</v>
      </c>
      <c r="E78" s="4">
        <v>15719</v>
      </c>
      <c r="F78" s="4">
        <v>1064</v>
      </c>
      <c r="G78" s="4">
        <v>1255</v>
      </c>
      <c r="H78" s="4">
        <v>2263</v>
      </c>
      <c r="I78" s="4">
        <v>2671</v>
      </c>
      <c r="J78" s="15">
        <v>0.06</v>
      </c>
      <c r="K78" s="15">
        <v>6.6000000000000003E-2</v>
      </c>
      <c r="L78" s="15">
        <v>0.12</v>
      </c>
      <c r="M78" s="16">
        <v>0.121</v>
      </c>
    </row>
    <row r="79" spans="2:13" ht="19.95" customHeight="1" x14ac:dyDescent="0.3">
      <c r="B79" s="7" t="s">
        <v>111</v>
      </c>
      <c r="C79" s="38">
        <v>82800</v>
      </c>
      <c r="D79" s="4">
        <v>5967</v>
      </c>
      <c r="E79" s="4">
        <v>6749</v>
      </c>
      <c r="F79" s="4">
        <v>1561</v>
      </c>
      <c r="G79" s="4">
        <v>1873</v>
      </c>
      <c r="H79" s="4">
        <v>3717</v>
      </c>
      <c r="I79" s="4">
        <v>4460</v>
      </c>
      <c r="J79" s="15">
        <v>0.1</v>
      </c>
      <c r="K79" s="15">
        <v>0.11</v>
      </c>
      <c r="L79" s="15">
        <v>0.14000000000000001</v>
      </c>
      <c r="M79" s="16">
        <v>0.15</v>
      </c>
    </row>
    <row r="80" spans="2:13" ht="19.95" customHeight="1" x14ac:dyDescent="0.3">
      <c r="B80" s="7" t="s">
        <v>112</v>
      </c>
      <c r="C80" s="38">
        <v>61700</v>
      </c>
      <c r="D80" s="4">
        <v>5093</v>
      </c>
      <c r="E80" s="4">
        <v>4991</v>
      </c>
      <c r="F80" s="4">
        <v>1193</v>
      </c>
      <c r="G80" s="4">
        <v>1110</v>
      </c>
      <c r="H80" s="4">
        <v>7065</v>
      </c>
      <c r="I80" s="4">
        <v>6573</v>
      </c>
      <c r="J80" s="15">
        <v>0.17</v>
      </c>
      <c r="K80" s="15">
        <v>0.13</v>
      </c>
      <c r="L80" s="15">
        <v>0.28000000000000003</v>
      </c>
      <c r="M80" s="16">
        <v>0.19</v>
      </c>
    </row>
    <row r="81" spans="2:13" ht="19.95" customHeight="1" x14ac:dyDescent="0.3">
      <c r="B81" s="7" t="s">
        <v>113</v>
      </c>
      <c r="C81" s="38">
        <v>55800</v>
      </c>
      <c r="D81" s="4">
        <v>7290</v>
      </c>
      <c r="E81" s="4">
        <v>7233</v>
      </c>
      <c r="F81" s="4">
        <v>501</v>
      </c>
      <c r="G81" s="4">
        <v>474</v>
      </c>
      <c r="H81" s="4">
        <v>7440</v>
      </c>
      <c r="I81" s="4">
        <v>7089</v>
      </c>
      <c r="J81" s="15">
        <v>8.1215969119865894E-2</v>
      </c>
      <c r="K81" s="15">
        <v>0.08</v>
      </c>
      <c r="L81" s="15">
        <v>0.14000000000000001</v>
      </c>
      <c r="M81" s="16">
        <v>0.14000000000000001</v>
      </c>
    </row>
    <row r="82" spans="2:13" ht="19.95" customHeight="1" x14ac:dyDescent="0.3">
      <c r="B82" s="7" t="s">
        <v>114</v>
      </c>
      <c r="C82" s="38">
        <v>64600</v>
      </c>
      <c r="D82" s="4">
        <v>63188</v>
      </c>
      <c r="E82" s="4">
        <v>66202</v>
      </c>
      <c r="F82" s="4">
        <v>9144</v>
      </c>
      <c r="G82" s="4">
        <v>9597</v>
      </c>
      <c r="H82" s="4">
        <v>3916</v>
      </c>
      <c r="I82" s="4">
        <v>4110</v>
      </c>
      <c r="J82" s="15">
        <v>0.17</v>
      </c>
      <c r="K82" s="15">
        <v>0.17</v>
      </c>
      <c r="L82" s="15">
        <v>0.26</v>
      </c>
      <c r="M82" s="16">
        <v>0.25</v>
      </c>
    </row>
    <row r="83" spans="2:13" ht="19.95" customHeight="1" x14ac:dyDescent="0.3">
      <c r="B83" s="7" t="s">
        <v>115</v>
      </c>
      <c r="C83" s="38">
        <v>47600</v>
      </c>
      <c r="D83" s="4">
        <v>24591</v>
      </c>
      <c r="E83" s="4">
        <v>27507</v>
      </c>
      <c r="F83" s="4">
        <v>530</v>
      </c>
      <c r="G83" s="4">
        <v>610</v>
      </c>
      <c r="H83" s="4">
        <v>2416</v>
      </c>
      <c r="I83" s="4">
        <v>2779</v>
      </c>
      <c r="J83" s="15">
        <v>0.06</v>
      </c>
      <c r="K83" s="15">
        <v>0.06</v>
      </c>
      <c r="L83" s="15">
        <v>0.15</v>
      </c>
      <c r="M83" s="16">
        <v>0.16</v>
      </c>
    </row>
    <row r="84" spans="2:13" ht="19.95" customHeight="1" x14ac:dyDescent="0.3">
      <c r="B84" s="7" t="s">
        <v>116</v>
      </c>
      <c r="C84" s="38">
        <v>20650</v>
      </c>
      <c r="D84" s="4">
        <v>4885</v>
      </c>
      <c r="E84" s="4">
        <v>5471</v>
      </c>
      <c r="F84" s="4">
        <v>368</v>
      </c>
      <c r="G84" s="4">
        <v>405</v>
      </c>
      <c r="H84" s="4">
        <v>1211</v>
      </c>
      <c r="I84" s="4">
        <v>1332</v>
      </c>
      <c r="J84" s="15">
        <v>3.7999999999999999E-2</v>
      </c>
      <c r="K84" s="15">
        <v>0.04</v>
      </c>
      <c r="L84" s="15">
        <v>8.5000000000000006E-2</v>
      </c>
      <c r="M84" s="16">
        <v>8.5999999999999993E-2</v>
      </c>
    </row>
    <row r="85" spans="2:13" ht="19.95" customHeight="1" x14ac:dyDescent="0.3">
      <c r="B85" s="7" t="s">
        <v>117</v>
      </c>
      <c r="C85" s="38">
        <v>98300</v>
      </c>
      <c r="D85" s="4">
        <v>80482</v>
      </c>
      <c r="E85" s="4">
        <v>89962</v>
      </c>
      <c r="F85" s="4">
        <v>4129</v>
      </c>
      <c r="G85" s="4">
        <v>5118</v>
      </c>
      <c r="H85" s="4">
        <v>2729</v>
      </c>
      <c r="I85" s="4">
        <v>3383</v>
      </c>
      <c r="J85" s="15">
        <v>0.05</v>
      </c>
      <c r="K85" s="15">
        <v>0.06</v>
      </c>
      <c r="L85" s="15">
        <v>0.14000000000000001</v>
      </c>
      <c r="M85" s="16">
        <v>0.15</v>
      </c>
    </row>
    <row r="86" spans="2:13" ht="19.95" customHeight="1" x14ac:dyDescent="0.3">
      <c r="B86" s="7" t="s">
        <v>118</v>
      </c>
      <c r="C86" s="38">
        <v>106000</v>
      </c>
      <c r="D86" s="4">
        <v>159592</v>
      </c>
      <c r="E86" s="4">
        <v>193997</v>
      </c>
      <c r="F86" s="4">
        <v>6757</v>
      </c>
      <c r="G86" s="4">
        <v>8600</v>
      </c>
      <c r="H86" s="4">
        <v>4602</v>
      </c>
      <c r="I86" s="4">
        <v>5856</v>
      </c>
      <c r="J86" s="15">
        <v>8.7999999999999995E-2</v>
      </c>
      <c r="K86" s="15">
        <v>9.8000000000000004E-2</v>
      </c>
      <c r="L86" s="15">
        <v>0.20699999999999999</v>
      </c>
      <c r="M86" s="16">
        <v>0.216</v>
      </c>
    </row>
    <row r="87" spans="2:13" ht="19.95" customHeight="1" x14ac:dyDescent="0.3">
      <c r="B87" s="7" t="s">
        <v>119</v>
      </c>
      <c r="C87" s="38">
        <v>175400</v>
      </c>
      <c r="D87" s="4">
        <v>50531</v>
      </c>
      <c r="E87" s="4">
        <v>61491</v>
      </c>
      <c r="F87" s="4">
        <v>736</v>
      </c>
      <c r="G87" s="4">
        <v>945</v>
      </c>
      <c r="H87" s="4">
        <v>4322</v>
      </c>
      <c r="I87" s="4">
        <v>5548</v>
      </c>
      <c r="J87" s="15">
        <v>3.6999999999999998E-2</v>
      </c>
      <c r="K87" s="15">
        <v>4.2000000000000003E-2</v>
      </c>
      <c r="L87" s="15">
        <v>0.27</v>
      </c>
      <c r="M87" s="16">
        <v>0.27</v>
      </c>
    </row>
    <row r="88" spans="2:13" ht="19.95" customHeight="1" x14ac:dyDescent="0.3">
      <c r="B88" s="7" t="s">
        <v>120</v>
      </c>
      <c r="C88" s="38">
        <v>32200</v>
      </c>
      <c r="D88" s="4">
        <v>16030</v>
      </c>
      <c r="E88" s="4">
        <v>16661</v>
      </c>
      <c r="F88" s="4">
        <v>1644</v>
      </c>
      <c r="G88" s="4">
        <v>1655</v>
      </c>
      <c r="H88" s="4">
        <v>3751</v>
      </c>
      <c r="I88" s="4">
        <v>3781</v>
      </c>
      <c r="J88" s="15">
        <v>0.11</v>
      </c>
      <c r="K88" s="15">
        <v>0.1</v>
      </c>
      <c r="L88" s="15">
        <v>0.2</v>
      </c>
      <c r="M88" s="16">
        <v>0.16</v>
      </c>
    </row>
    <row r="89" spans="2:13" ht="19.95" customHeight="1" x14ac:dyDescent="0.3">
      <c r="B89" s="7" t="s">
        <v>121</v>
      </c>
      <c r="C89" s="38">
        <v>112200</v>
      </c>
      <c r="D89" s="4">
        <v>34802</v>
      </c>
      <c r="E89" s="4">
        <v>36879</v>
      </c>
      <c r="F89" s="4">
        <v>2529</v>
      </c>
      <c r="G89" s="4">
        <v>2733</v>
      </c>
      <c r="H89" s="4">
        <v>6801</v>
      </c>
      <c r="I89" s="4">
        <v>7479</v>
      </c>
      <c r="J89" s="15">
        <v>0.13</v>
      </c>
      <c r="K89" s="15">
        <v>0.13</v>
      </c>
      <c r="L89" s="15">
        <v>0.19</v>
      </c>
      <c r="M89" s="16">
        <v>0.19</v>
      </c>
    </row>
    <row r="90" spans="2:13" ht="19.95" customHeight="1" x14ac:dyDescent="0.3">
      <c r="B90" s="7" t="s">
        <v>122</v>
      </c>
      <c r="C90" s="38">
        <v>28000</v>
      </c>
      <c r="D90" s="4">
        <v>1658</v>
      </c>
      <c r="E90" s="4">
        <v>1744</v>
      </c>
      <c r="F90" s="4">
        <v>143</v>
      </c>
      <c r="G90" s="4">
        <v>164</v>
      </c>
      <c r="H90" s="4">
        <v>1740</v>
      </c>
      <c r="I90" s="4">
        <v>1999</v>
      </c>
      <c r="J90" s="15">
        <v>0.06</v>
      </c>
      <c r="K90" s="15">
        <v>0.06</v>
      </c>
      <c r="L90" s="15">
        <v>0.1</v>
      </c>
      <c r="M90" s="16">
        <v>0.1</v>
      </c>
    </row>
    <row r="91" spans="2:13" ht="19.95" customHeight="1" x14ac:dyDescent="0.3">
      <c r="B91" s="7" t="s">
        <v>123</v>
      </c>
      <c r="C91" s="38">
        <v>109800</v>
      </c>
      <c r="D91" s="4">
        <v>69575</v>
      </c>
      <c r="E91" s="4">
        <v>79280</v>
      </c>
      <c r="F91" s="4">
        <v>9366</v>
      </c>
      <c r="G91" s="4">
        <v>10905</v>
      </c>
      <c r="H91" s="4">
        <v>5060</v>
      </c>
      <c r="I91" s="4">
        <v>5892</v>
      </c>
      <c r="J91" s="15">
        <v>0.11</v>
      </c>
      <c r="K91" s="15">
        <v>0.11</v>
      </c>
      <c r="L91" s="15">
        <v>0.2</v>
      </c>
      <c r="M91" s="16">
        <v>0.2</v>
      </c>
    </row>
    <row r="92" spans="2:13" ht="19.95" customHeight="1" x14ac:dyDescent="0.3">
      <c r="B92" s="7" t="s">
        <v>124</v>
      </c>
      <c r="C92" s="38">
        <v>111000</v>
      </c>
      <c r="D92" s="4">
        <v>13957</v>
      </c>
      <c r="E92" s="4">
        <v>15684</v>
      </c>
      <c r="F92" s="4">
        <v>566</v>
      </c>
      <c r="G92" s="4">
        <v>762</v>
      </c>
      <c r="H92" s="4">
        <v>4948</v>
      </c>
      <c r="I92" s="4">
        <v>6659</v>
      </c>
      <c r="J92" s="15">
        <v>0.06</v>
      </c>
      <c r="K92" s="15">
        <v>0.08</v>
      </c>
      <c r="L92" s="15">
        <v>0.18</v>
      </c>
      <c r="M92" s="16">
        <v>0.2</v>
      </c>
    </row>
    <row r="93" spans="2:13" ht="19.95" customHeight="1" x14ac:dyDescent="0.3">
      <c r="B93" s="7" t="s">
        <v>125</v>
      </c>
      <c r="C93" s="38">
        <v>36300</v>
      </c>
      <c r="D93" s="4">
        <v>5681</v>
      </c>
      <c r="E93" s="4">
        <v>6059</v>
      </c>
      <c r="F93" s="4">
        <v>543</v>
      </c>
      <c r="G93" s="4">
        <v>549</v>
      </c>
      <c r="H93" s="4">
        <v>4845</v>
      </c>
      <c r="I93" s="4">
        <v>4902</v>
      </c>
      <c r="J93" s="15">
        <v>0.14000000000000001</v>
      </c>
      <c r="K93" s="15">
        <v>0.13</v>
      </c>
      <c r="L93" s="15">
        <v>0.24</v>
      </c>
      <c r="M93" s="16">
        <v>0.22</v>
      </c>
    </row>
    <row r="94" spans="2:13" ht="19.95" customHeight="1" x14ac:dyDescent="0.3">
      <c r="B94" s="8" t="s">
        <v>126</v>
      </c>
      <c r="C94" s="40">
        <v>21100</v>
      </c>
      <c r="D94" s="9">
        <v>8350</v>
      </c>
      <c r="E94" s="9">
        <v>9177</v>
      </c>
      <c r="F94" s="9">
        <v>342</v>
      </c>
      <c r="G94" s="9">
        <v>378</v>
      </c>
      <c r="H94" s="9">
        <v>2812</v>
      </c>
      <c r="I94" s="9">
        <v>3104</v>
      </c>
      <c r="J94" s="27">
        <v>0.05</v>
      </c>
      <c r="K94" s="27">
        <v>0.05</v>
      </c>
      <c r="L94" s="27">
        <v>0.17455746496906299</v>
      </c>
      <c r="M94" s="28">
        <v>0.15</v>
      </c>
    </row>
    <row r="96" spans="2:13" ht="19.95" customHeight="1" x14ac:dyDescent="0.3">
      <c r="C96" s="4"/>
      <c r="D96" s="4"/>
      <c r="E96" s="4"/>
      <c r="F96" s="4">
        <f>SUM(F3:F94)</f>
        <v>429072.12448363309</v>
      </c>
      <c r="G96" s="4">
        <f>SUM(G3:G94)</f>
        <v>501304.86656297417</v>
      </c>
      <c r="H96" s="4"/>
      <c r="I96" s="4"/>
    </row>
    <row r="97" spans="3:9" ht="19.95" customHeight="1" x14ac:dyDescent="0.3">
      <c r="C97" s="4"/>
      <c r="D97" s="4"/>
      <c r="E97" s="4"/>
      <c r="F97" s="4"/>
      <c r="G97" s="41">
        <f>G96/F96-1</f>
        <v>0.16834638737314767</v>
      </c>
      <c r="H97" s="4"/>
      <c r="I97" s="4"/>
    </row>
    <row r="98" spans="3:9" ht="19.95" customHeight="1" x14ac:dyDescent="0.3">
      <c r="C98" s="4"/>
      <c r="D98" s="4"/>
      <c r="E98" s="4"/>
      <c r="F98" s="4"/>
      <c r="G98" s="4"/>
      <c r="H98" s="4"/>
      <c r="I98" s="4"/>
    </row>
    <row r="99" spans="3:9" ht="19.95" customHeight="1" x14ac:dyDescent="0.3">
      <c r="C99" s="4"/>
      <c r="D99" s="4"/>
      <c r="E99" s="4"/>
      <c r="F99" s="4"/>
      <c r="G99" s="4"/>
      <c r="H99" s="37"/>
    </row>
    <row r="100" spans="3:9" ht="19.95" customHeight="1" x14ac:dyDescent="0.3">
      <c r="C100" s="4"/>
      <c r="D100" s="4"/>
      <c r="E100" s="4"/>
      <c r="F100" s="4"/>
      <c r="G100" s="4"/>
      <c r="H100" s="37"/>
      <c r="I100" s="4"/>
    </row>
    <row r="101" spans="3:9" ht="19.95" customHeight="1" x14ac:dyDescent="0.3">
      <c r="C101" s="4"/>
      <c r="D101" s="4"/>
      <c r="E101" s="4"/>
      <c r="F101" s="4"/>
      <c r="G101" s="4"/>
      <c r="H101" s="4"/>
      <c r="I101" s="4"/>
    </row>
    <row r="102" spans="3:9" ht="19.95" customHeight="1" x14ac:dyDescent="0.3">
      <c r="C102" s="4"/>
      <c r="D102" s="4"/>
      <c r="E102" s="4"/>
      <c r="F102" s="4"/>
      <c r="G102" s="4"/>
      <c r="H102" s="4"/>
      <c r="I102" s="4"/>
    </row>
    <row r="103" spans="3:9" ht="19.95" customHeight="1" x14ac:dyDescent="0.3">
      <c r="C103" s="4"/>
      <c r="D103" s="4"/>
      <c r="E103" s="4"/>
      <c r="F103" s="4"/>
      <c r="G103" s="4"/>
      <c r="H103" s="4"/>
      <c r="I103" s="4"/>
    </row>
    <row r="104" spans="3:9" ht="19.95" customHeight="1" x14ac:dyDescent="0.3">
      <c r="C104" s="4"/>
      <c r="D104" s="4"/>
      <c r="E104" s="4"/>
      <c r="F104" s="4"/>
      <c r="G104" s="4"/>
      <c r="H104" s="4"/>
      <c r="I104" s="4"/>
    </row>
    <row r="105" spans="3:9" ht="19.95" customHeight="1" x14ac:dyDescent="0.3">
      <c r="C105" s="4"/>
      <c r="D105" s="4"/>
      <c r="E105" s="4"/>
      <c r="F105" s="4"/>
      <c r="G105" s="4"/>
      <c r="H105" s="4"/>
      <c r="I105" s="4"/>
    </row>
    <row r="106" spans="3:9" ht="19.95" customHeight="1" x14ac:dyDescent="0.3">
      <c r="C106" s="4"/>
      <c r="D106" s="4"/>
      <c r="E106" s="4"/>
      <c r="F106" s="4"/>
      <c r="G106" s="4"/>
      <c r="H106" s="4"/>
      <c r="I106" s="4"/>
    </row>
    <row r="107" spans="3:9" ht="19.95" customHeight="1" x14ac:dyDescent="0.3">
      <c r="C107" s="4"/>
      <c r="D107" s="4"/>
      <c r="E107" s="4"/>
      <c r="F107" s="4"/>
      <c r="G107" s="4"/>
      <c r="H107" s="4"/>
      <c r="I107" s="4"/>
    </row>
    <row r="108" spans="3:9" ht="19.95" customHeight="1" x14ac:dyDescent="0.3">
      <c r="C108" s="4"/>
      <c r="D108" s="4"/>
      <c r="E108" s="4"/>
      <c r="F108" s="4"/>
      <c r="G108" s="4"/>
      <c r="H108" s="4"/>
      <c r="I108" s="4"/>
    </row>
    <row r="109" spans="3:9" ht="19.95" customHeight="1" x14ac:dyDescent="0.3">
      <c r="C109" s="4"/>
      <c r="D109" s="4"/>
      <c r="E109" s="4"/>
      <c r="F109" s="4"/>
      <c r="G109" s="4"/>
      <c r="H109" s="4"/>
      <c r="I109" s="4"/>
    </row>
    <row r="110" spans="3:9" ht="19.95" customHeight="1" x14ac:dyDescent="0.3">
      <c r="C110" s="4"/>
      <c r="D110" s="4"/>
      <c r="E110" s="4"/>
      <c r="F110" s="4"/>
      <c r="G110" s="4"/>
      <c r="H110" s="4"/>
      <c r="I110" s="4"/>
    </row>
    <row r="111" spans="3:9" ht="19.95" customHeight="1" x14ac:dyDescent="0.3">
      <c r="C111" s="4"/>
      <c r="D111" s="4"/>
      <c r="E111" s="4"/>
      <c r="F111" s="4"/>
      <c r="G111" s="4"/>
      <c r="H111" s="4"/>
      <c r="I111" s="4"/>
    </row>
    <row r="112" spans="3:9" ht="19.95" customHeight="1" x14ac:dyDescent="0.3">
      <c r="C112" s="4"/>
      <c r="D112" s="4"/>
      <c r="E112" s="4"/>
      <c r="F112" s="4"/>
      <c r="G112" s="4"/>
      <c r="H112" s="4"/>
      <c r="I112" s="4"/>
    </row>
    <row r="113" spans="3:9" ht="19.95" customHeight="1" x14ac:dyDescent="0.3">
      <c r="C113" s="4"/>
      <c r="D113" s="4"/>
      <c r="E113" s="4"/>
      <c r="F113" s="4"/>
      <c r="G113" s="4"/>
      <c r="H113" s="4"/>
      <c r="I113" s="4"/>
    </row>
    <row r="114" spans="3:9" ht="19.95" customHeight="1" x14ac:dyDescent="0.3">
      <c r="C114" s="4"/>
      <c r="D114" s="4"/>
      <c r="E114" s="4"/>
      <c r="F114" s="4"/>
      <c r="G114" s="4"/>
      <c r="H114" s="4"/>
      <c r="I114" s="4"/>
    </row>
    <row r="115" spans="3:9" ht="19.95" customHeight="1" x14ac:dyDescent="0.3">
      <c r="C115" s="4"/>
      <c r="D115" s="4"/>
      <c r="E115" s="4"/>
      <c r="F115" s="4"/>
      <c r="G115" s="4"/>
      <c r="H115" s="4"/>
      <c r="I115" s="4"/>
    </row>
    <row r="116" spans="3:9" ht="19.95" customHeight="1" x14ac:dyDescent="0.3">
      <c r="C116" s="4"/>
      <c r="D116" s="4"/>
      <c r="E116" s="4"/>
      <c r="F116" s="4"/>
      <c r="G116" s="4"/>
      <c r="H116" s="4"/>
      <c r="I116" s="4"/>
    </row>
    <row r="117" spans="3:9" ht="19.95" customHeight="1" x14ac:dyDescent="0.3">
      <c r="C117" s="4"/>
      <c r="D117" s="4"/>
      <c r="E117" s="4"/>
      <c r="F117" s="4"/>
      <c r="G117" s="4"/>
      <c r="H117" s="4"/>
      <c r="I117" s="4"/>
    </row>
    <row r="118" spans="3:9" ht="19.95" customHeight="1" x14ac:dyDescent="0.3">
      <c r="C118" s="4"/>
      <c r="D118" s="4"/>
      <c r="E118" s="4"/>
      <c r="F118" s="4"/>
      <c r="G118" s="4"/>
      <c r="H118" s="4"/>
      <c r="I118" s="4"/>
    </row>
    <row r="119" spans="3:9" ht="19.95" customHeight="1" x14ac:dyDescent="0.3">
      <c r="C119" s="4"/>
      <c r="D119" s="4"/>
      <c r="E119" s="4"/>
      <c r="F119" s="4"/>
      <c r="G119" s="4"/>
      <c r="H119" s="4"/>
      <c r="I119" s="4"/>
    </row>
    <row r="120" spans="3:9" ht="19.95" customHeight="1" x14ac:dyDescent="0.3">
      <c r="C120" s="4"/>
      <c r="D120" s="4"/>
      <c r="E120" s="4"/>
      <c r="F120" s="4"/>
      <c r="G120" s="4"/>
      <c r="H120" s="4"/>
      <c r="I120" s="4"/>
    </row>
    <row r="121" spans="3:9" ht="19.95" customHeight="1" x14ac:dyDescent="0.3">
      <c r="C121" s="4"/>
      <c r="D121" s="4"/>
      <c r="E121" s="4"/>
      <c r="F121" s="4"/>
      <c r="G121" s="4"/>
      <c r="H121" s="4"/>
      <c r="I121" s="4"/>
    </row>
    <row r="122" spans="3:9" ht="19.95" customHeight="1" x14ac:dyDescent="0.3">
      <c r="C122" s="4"/>
      <c r="D122" s="4"/>
      <c r="E122" s="4"/>
      <c r="F122" s="4"/>
      <c r="G122" s="4"/>
      <c r="H122" s="4"/>
      <c r="I122" s="4"/>
    </row>
    <row r="123" spans="3:9" ht="19.95" customHeight="1" x14ac:dyDescent="0.3">
      <c r="C123" s="4"/>
      <c r="D123" s="4"/>
      <c r="E123" s="4"/>
      <c r="F123" s="4"/>
      <c r="G123" s="4"/>
      <c r="H123" s="4"/>
      <c r="I123" s="4"/>
    </row>
    <row r="124" spans="3:9" ht="19.95" customHeight="1" x14ac:dyDescent="0.3">
      <c r="C124" s="4"/>
      <c r="D124" s="4"/>
      <c r="E124" s="4"/>
      <c r="F124" s="4"/>
      <c r="G124" s="4"/>
      <c r="H124" s="4"/>
      <c r="I124" s="4"/>
    </row>
    <row r="125" spans="3:9" ht="19.95" customHeight="1" x14ac:dyDescent="0.3">
      <c r="C125" s="4"/>
      <c r="D125" s="4"/>
      <c r="E125" s="4"/>
      <c r="F125" s="4"/>
      <c r="G125" s="4"/>
      <c r="H125" s="4"/>
      <c r="I125" s="4"/>
    </row>
    <row r="126" spans="3:9" ht="19.95" customHeight="1" x14ac:dyDescent="0.3">
      <c r="C126" s="4"/>
      <c r="D126" s="4"/>
      <c r="E126" s="4"/>
      <c r="F126" s="4"/>
      <c r="G126" s="4"/>
      <c r="H126" s="4"/>
      <c r="I126" s="4"/>
    </row>
    <row r="127" spans="3:9" ht="19.95" customHeight="1" x14ac:dyDescent="0.3">
      <c r="C127" s="4"/>
      <c r="D127" s="4"/>
      <c r="E127" s="4"/>
      <c r="F127" s="4"/>
      <c r="G127" s="4"/>
      <c r="H127" s="4"/>
      <c r="I127" s="4"/>
    </row>
    <row r="128" spans="3:9" ht="19.95" customHeight="1" x14ac:dyDescent="0.3">
      <c r="C128" s="4"/>
      <c r="D128" s="4"/>
      <c r="E128" s="4"/>
      <c r="F128" s="4"/>
      <c r="G128" s="4"/>
      <c r="H128" s="4"/>
      <c r="I128" s="4"/>
    </row>
    <row r="129" spans="3:9" ht="19.95" customHeight="1" x14ac:dyDescent="0.3">
      <c r="C129" s="4"/>
      <c r="D129" s="4"/>
      <c r="E129" s="4"/>
      <c r="F129" s="4"/>
      <c r="G129" s="4"/>
      <c r="H129" s="4"/>
      <c r="I129" s="4"/>
    </row>
    <row r="130" spans="3:9" ht="19.95" customHeight="1" x14ac:dyDescent="0.3">
      <c r="C130" s="4"/>
      <c r="D130" s="4"/>
      <c r="E130" s="4"/>
      <c r="F130" s="4"/>
      <c r="G130" s="4"/>
      <c r="H130" s="4"/>
      <c r="I130" s="4"/>
    </row>
    <row r="131" spans="3:9" ht="19.95" customHeight="1" x14ac:dyDescent="0.3">
      <c r="C131" s="4"/>
      <c r="D131" s="4"/>
      <c r="E131" s="4"/>
      <c r="F131" s="4"/>
      <c r="G131" s="4"/>
      <c r="H131" s="4"/>
      <c r="I131" s="4"/>
    </row>
    <row r="132" spans="3:9" ht="19.95" customHeight="1" x14ac:dyDescent="0.3">
      <c r="C132" s="4"/>
      <c r="D132" s="4"/>
      <c r="E132" s="4"/>
      <c r="F132" s="4"/>
      <c r="G132" s="4"/>
      <c r="H132" s="4"/>
      <c r="I132" s="4"/>
    </row>
    <row r="133" spans="3:9" ht="19.95" customHeight="1" x14ac:dyDescent="0.3">
      <c r="C133" s="4"/>
      <c r="D133" s="4"/>
      <c r="E133" s="4"/>
      <c r="F133" s="4"/>
      <c r="G133" s="4"/>
      <c r="H133" s="4"/>
      <c r="I133" s="4"/>
    </row>
    <row r="134" spans="3:9" ht="19.95" customHeight="1" x14ac:dyDescent="0.3">
      <c r="C134" s="4"/>
      <c r="D134" s="4"/>
      <c r="E134" s="4"/>
      <c r="F134" s="4"/>
      <c r="G134" s="4"/>
      <c r="H134" s="4"/>
      <c r="I134" s="4"/>
    </row>
    <row r="135" spans="3:9" ht="19.95" customHeight="1" x14ac:dyDescent="0.3">
      <c r="C135" s="4"/>
      <c r="D135" s="4"/>
      <c r="E135" s="4"/>
      <c r="F135" s="4"/>
      <c r="G135" s="4"/>
      <c r="H135" s="4"/>
      <c r="I135" s="4"/>
    </row>
    <row r="136" spans="3:9" ht="19.95" customHeight="1" x14ac:dyDescent="0.3">
      <c r="C136" s="4"/>
      <c r="D136" s="4"/>
      <c r="E136" s="4"/>
      <c r="F136" s="4"/>
      <c r="G136" s="4"/>
      <c r="H136" s="4"/>
      <c r="I136" s="4"/>
    </row>
    <row r="137" spans="3:9" ht="19.95" customHeight="1" x14ac:dyDescent="0.3">
      <c r="C137" s="4"/>
      <c r="D137" s="4"/>
      <c r="E137" s="4"/>
      <c r="F137" s="4"/>
      <c r="G137" s="4"/>
      <c r="H137" s="4"/>
      <c r="I137" s="4"/>
    </row>
    <row r="138" spans="3:9" ht="19.95" customHeight="1" x14ac:dyDescent="0.3">
      <c r="C138" s="4"/>
      <c r="D138" s="4"/>
      <c r="E138" s="4"/>
      <c r="F138" s="4"/>
      <c r="G138" s="4"/>
      <c r="H138" s="4"/>
      <c r="I138" s="4"/>
    </row>
    <row r="139" spans="3:9" ht="19.95" customHeight="1" x14ac:dyDescent="0.3">
      <c r="C139" s="4"/>
      <c r="D139" s="4"/>
      <c r="E139" s="4"/>
      <c r="F139" s="4"/>
      <c r="G139" s="4"/>
      <c r="H139" s="4"/>
      <c r="I139" s="4"/>
    </row>
    <row r="140" spans="3:9" ht="19.95" customHeight="1" x14ac:dyDescent="0.3">
      <c r="C140" s="4"/>
      <c r="D140" s="4"/>
      <c r="E140" s="4"/>
      <c r="F140" s="4"/>
      <c r="G140" s="4"/>
      <c r="H140" s="4"/>
      <c r="I140" s="4"/>
    </row>
    <row r="141" spans="3:9" ht="19.95" customHeight="1" x14ac:dyDescent="0.3">
      <c r="C141" s="4"/>
      <c r="D141" s="4"/>
      <c r="E141" s="4"/>
      <c r="F141" s="4"/>
      <c r="G141" s="4"/>
      <c r="H141" s="4"/>
      <c r="I141" s="4"/>
    </row>
    <row r="142" spans="3:9" ht="19.95" customHeight="1" x14ac:dyDescent="0.3">
      <c r="C142" s="4"/>
      <c r="D142" s="4"/>
      <c r="E142" s="4"/>
      <c r="F142" s="4"/>
      <c r="G142" s="4"/>
      <c r="H142" s="4"/>
      <c r="I142" s="4"/>
    </row>
    <row r="143" spans="3:9" ht="19.95" customHeight="1" x14ac:dyDescent="0.3">
      <c r="C143" s="4"/>
      <c r="D143" s="4"/>
      <c r="E143" s="4"/>
      <c r="F143" s="4"/>
      <c r="G143" s="4"/>
      <c r="H143" s="4"/>
      <c r="I143" s="4"/>
    </row>
    <row r="144" spans="3:9" ht="19.95" customHeight="1" x14ac:dyDescent="0.3">
      <c r="C144" s="4"/>
      <c r="D144" s="4"/>
      <c r="E144" s="4"/>
      <c r="F144" s="4"/>
      <c r="G144" s="4"/>
      <c r="H144" s="4"/>
      <c r="I144" s="4"/>
    </row>
    <row r="145" spans="3:9" ht="19.95" customHeight="1" x14ac:dyDescent="0.3">
      <c r="C145" s="4"/>
      <c r="D145" s="4"/>
      <c r="E145" s="4"/>
      <c r="F145" s="4"/>
      <c r="G145" s="4"/>
      <c r="H145" s="4"/>
      <c r="I145" s="4"/>
    </row>
    <row r="146" spans="3:9" ht="19.95" customHeight="1" x14ac:dyDescent="0.3">
      <c r="C146" s="4"/>
      <c r="D146" s="4"/>
      <c r="E146" s="4"/>
      <c r="F146" s="4"/>
      <c r="G146" s="4"/>
      <c r="H146" s="4"/>
      <c r="I146" s="4"/>
    </row>
    <row r="147" spans="3:9" ht="19.95" customHeight="1" x14ac:dyDescent="0.3">
      <c r="C147" s="4"/>
      <c r="D147" s="4"/>
      <c r="E147" s="4"/>
      <c r="F147" s="4"/>
      <c r="G147" s="4"/>
      <c r="H147" s="4"/>
      <c r="I147" s="4"/>
    </row>
    <row r="148" spans="3:9" ht="19.95" customHeight="1" x14ac:dyDescent="0.3">
      <c r="C148" s="4"/>
      <c r="D148" s="4"/>
      <c r="E148" s="4"/>
      <c r="F148" s="4"/>
      <c r="G148" s="4"/>
      <c r="H148" s="4"/>
      <c r="I148" s="4"/>
    </row>
    <row r="149" spans="3:9" ht="19.95" customHeight="1" x14ac:dyDescent="0.3">
      <c r="C149" s="4"/>
      <c r="D149" s="4"/>
      <c r="E149" s="4"/>
      <c r="F149" s="4"/>
      <c r="G149" s="4"/>
      <c r="H149" s="4"/>
      <c r="I149" s="4"/>
    </row>
    <row r="150" spans="3:9" ht="19.95" customHeight="1" x14ac:dyDescent="0.3">
      <c r="C150" s="4"/>
      <c r="D150" s="4"/>
      <c r="E150" s="4"/>
      <c r="F150" s="4"/>
      <c r="G150" s="4"/>
      <c r="H150" s="4"/>
      <c r="I150" s="4"/>
    </row>
    <row r="151" spans="3:9" ht="19.95" customHeight="1" x14ac:dyDescent="0.3">
      <c r="C151" s="4"/>
      <c r="D151" s="4"/>
      <c r="E151" s="4"/>
      <c r="F151" s="4"/>
      <c r="G151" s="4"/>
      <c r="H151" s="4"/>
      <c r="I151" s="4"/>
    </row>
    <row r="152" spans="3:9" ht="19.95" customHeight="1" x14ac:dyDescent="0.3">
      <c r="C152" s="4"/>
      <c r="D152" s="4"/>
      <c r="E152" s="4"/>
      <c r="F152" s="4"/>
      <c r="G152" s="4"/>
      <c r="H152" s="4"/>
      <c r="I152" s="4"/>
    </row>
    <row r="153" spans="3:9" ht="19.95" customHeight="1" x14ac:dyDescent="0.3">
      <c r="C153" s="4"/>
      <c r="D153" s="4"/>
      <c r="E153" s="4"/>
      <c r="F153" s="4"/>
      <c r="G153" s="4"/>
      <c r="H153" s="4"/>
      <c r="I153" s="4"/>
    </row>
    <row r="154" spans="3:9" ht="19.95" customHeight="1" x14ac:dyDescent="0.3">
      <c r="C154" s="4"/>
      <c r="D154" s="4"/>
      <c r="E154" s="4"/>
      <c r="F154" s="4"/>
      <c r="G154" s="4"/>
      <c r="H154" s="4"/>
      <c r="I154" s="4"/>
    </row>
    <row r="155" spans="3:9" ht="19.95" customHeight="1" x14ac:dyDescent="0.3">
      <c r="C155" s="4"/>
      <c r="D155" s="4"/>
      <c r="E155" s="4"/>
      <c r="F155" s="4"/>
      <c r="G155" s="4"/>
      <c r="H155" s="4"/>
      <c r="I155" s="4"/>
    </row>
    <row r="156" spans="3:9" ht="19.95" customHeight="1" x14ac:dyDescent="0.3">
      <c r="C156" s="4"/>
      <c r="D156" s="4"/>
      <c r="E156" s="4"/>
      <c r="F156" s="4"/>
      <c r="G156" s="4"/>
      <c r="H156" s="4"/>
      <c r="I156" s="4"/>
    </row>
    <row r="157" spans="3:9" ht="19.95" customHeight="1" x14ac:dyDescent="0.3">
      <c r="C157" s="4"/>
      <c r="D157" s="4"/>
      <c r="E157" s="4"/>
      <c r="F157" s="4"/>
      <c r="G157" s="4"/>
      <c r="H157" s="4"/>
      <c r="I157" s="4"/>
    </row>
    <row r="158" spans="3:9" ht="19.95" customHeight="1" x14ac:dyDescent="0.3">
      <c r="C158" s="4"/>
      <c r="D158" s="4"/>
      <c r="E158" s="4"/>
      <c r="F158" s="4"/>
      <c r="G158" s="4"/>
      <c r="H158" s="4"/>
      <c r="I158" s="4"/>
    </row>
    <row r="159" spans="3:9" ht="19.95" customHeight="1" x14ac:dyDescent="0.3">
      <c r="C159" s="4"/>
      <c r="D159" s="4"/>
      <c r="E159" s="4"/>
      <c r="F159" s="4"/>
      <c r="G159" s="4"/>
      <c r="H159" s="4"/>
      <c r="I159" s="4"/>
    </row>
    <row r="160" spans="3:9" ht="19.95" customHeight="1" x14ac:dyDescent="0.3">
      <c r="C160" s="4"/>
      <c r="D160" s="4"/>
      <c r="E160" s="4"/>
      <c r="F160" s="4"/>
      <c r="G160" s="4"/>
      <c r="H160" s="4"/>
      <c r="I160" s="4"/>
    </row>
    <row r="161" spans="3:9" ht="19.95" customHeight="1" x14ac:dyDescent="0.3">
      <c r="C161" s="4"/>
      <c r="D161" s="4"/>
      <c r="E161" s="4"/>
      <c r="F161" s="4"/>
      <c r="G161" s="4"/>
      <c r="H161" s="4"/>
      <c r="I161" s="4"/>
    </row>
    <row r="162" spans="3:9" ht="19.95" customHeight="1" x14ac:dyDescent="0.3">
      <c r="C162" s="4"/>
      <c r="D162" s="4"/>
      <c r="E162" s="4"/>
      <c r="F162" s="4"/>
      <c r="G162" s="4"/>
      <c r="H162" s="4"/>
      <c r="I162" s="4"/>
    </row>
    <row r="163" spans="3:9" ht="19.95" customHeight="1" x14ac:dyDescent="0.3">
      <c r="C163" s="4"/>
      <c r="D163" s="4"/>
      <c r="E163" s="4"/>
      <c r="F163" s="4"/>
      <c r="G163" s="4"/>
      <c r="H163" s="4"/>
      <c r="I163" s="4"/>
    </row>
    <row r="164" spans="3:9" ht="19.95" customHeight="1" x14ac:dyDescent="0.3">
      <c r="C164" s="4"/>
      <c r="D164" s="4"/>
      <c r="E164" s="4"/>
      <c r="F164" s="4"/>
      <c r="G164" s="4"/>
      <c r="H164" s="4"/>
      <c r="I164" s="4"/>
    </row>
    <row r="165" spans="3:9" ht="19.95" customHeight="1" x14ac:dyDescent="0.3">
      <c r="C165" s="4"/>
      <c r="D165" s="4"/>
      <c r="E165" s="4"/>
      <c r="F165" s="4"/>
      <c r="G165" s="4"/>
      <c r="H165" s="4"/>
      <c r="I165" s="4"/>
    </row>
    <row r="166" spans="3:9" ht="19.95" customHeight="1" x14ac:dyDescent="0.3">
      <c r="C166" s="4"/>
      <c r="D166" s="4"/>
      <c r="E166" s="4"/>
      <c r="F166" s="4"/>
      <c r="G166" s="4"/>
      <c r="H166" s="4"/>
      <c r="I166" s="4"/>
    </row>
    <row r="167" spans="3:9" ht="19.95" customHeight="1" x14ac:dyDescent="0.3">
      <c r="C167" s="4"/>
      <c r="D167" s="4"/>
      <c r="E167" s="4"/>
      <c r="F167" s="4"/>
      <c r="G167" s="4"/>
      <c r="H167" s="4"/>
      <c r="I167" s="4"/>
    </row>
    <row r="168" spans="3:9" ht="19.95" customHeight="1" x14ac:dyDescent="0.3">
      <c r="C168" s="4"/>
      <c r="D168" s="4"/>
      <c r="E168" s="4"/>
      <c r="F168" s="4"/>
      <c r="G168" s="4"/>
      <c r="H168" s="4"/>
      <c r="I168" s="4"/>
    </row>
    <row r="169" spans="3:9" ht="19.95" customHeight="1" x14ac:dyDescent="0.3">
      <c r="C169" s="4"/>
      <c r="D169" s="4"/>
      <c r="E169" s="4"/>
      <c r="F169" s="4"/>
      <c r="G169" s="4"/>
      <c r="H169" s="4"/>
      <c r="I169" s="4"/>
    </row>
    <row r="170" spans="3:9" ht="19.95" customHeight="1" x14ac:dyDescent="0.3">
      <c r="C170" s="4"/>
      <c r="D170" s="4"/>
      <c r="E170" s="4"/>
      <c r="F170" s="4"/>
      <c r="G170" s="4"/>
      <c r="H170" s="4"/>
      <c r="I170" s="4"/>
    </row>
    <row r="171" spans="3:9" ht="19.95" customHeight="1" x14ac:dyDescent="0.3">
      <c r="C171" s="4"/>
      <c r="D171" s="4"/>
      <c r="E171" s="4"/>
      <c r="F171" s="4"/>
      <c r="G171" s="4"/>
      <c r="H171" s="4"/>
      <c r="I171" s="4"/>
    </row>
    <row r="172" spans="3:9" ht="19.95" customHeight="1" x14ac:dyDescent="0.3">
      <c r="C172" s="4"/>
      <c r="D172" s="4"/>
      <c r="E172" s="4"/>
      <c r="F172" s="4"/>
      <c r="G172" s="4"/>
      <c r="H172" s="4"/>
      <c r="I172" s="4"/>
    </row>
    <row r="173" spans="3:9" ht="19.95" customHeight="1" x14ac:dyDescent="0.3">
      <c r="C173" s="4"/>
      <c r="D173" s="4"/>
      <c r="E173" s="4"/>
      <c r="F173" s="4"/>
      <c r="G173" s="4"/>
      <c r="H173" s="4"/>
      <c r="I173" s="4"/>
    </row>
    <row r="174" spans="3:9" ht="19.95" customHeight="1" x14ac:dyDescent="0.3">
      <c r="C174" s="4"/>
      <c r="D174" s="4"/>
      <c r="E174" s="4"/>
      <c r="F174" s="4"/>
      <c r="G174" s="4"/>
      <c r="H174" s="4"/>
      <c r="I174" s="4"/>
    </row>
    <row r="175" spans="3:9" ht="19.95" customHeight="1" x14ac:dyDescent="0.3">
      <c r="C175" s="4"/>
      <c r="D175" s="4"/>
      <c r="E175" s="4"/>
      <c r="F175" s="4"/>
      <c r="G175" s="4"/>
      <c r="H175" s="4"/>
      <c r="I175" s="4"/>
    </row>
    <row r="176" spans="3:9" ht="19.95" customHeight="1" x14ac:dyDescent="0.3">
      <c r="C176" s="4"/>
      <c r="D176" s="4"/>
      <c r="E176" s="4"/>
      <c r="F176" s="4"/>
      <c r="G176" s="4"/>
      <c r="H176" s="4"/>
      <c r="I176" s="4"/>
    </row>
    <row r="177" spans="3:9" ht="19.95" customHeight="1" x14ac:dyDescent="0.3">
      <c r="C177" s="4"/>
      <c r="D177" s="4"/>
      <c r="E177" s="4"/>
      <c r="F177" s="4"/>
      <c r="G177" s="4"/>
      <c r="H177" s="4"/>
      <c r="I177" s="4"/>
    </row>
    <row r="178" spans="3:9" ht="19.95" customHeight="1" x14ac:dyDescent="0.3">
      <c r="C178" s="4"/>
      <c r="D178" s="4"/>
      <c r="E178" s="4"/>
      <c r="F178" s="4"/>
      <c r="G178" s="4"/>
      <c r="H178" s="4"/>
      <c r="I178" s="4"/>
    </row>
    <row r="179" spans="3:9" ht="19.95" customHeight="1" x14ac:dyDescent="0.3">
      <c r="C179" s="4"/>
      <c r="D179" s="4"/>
      <c r="E179" s="4"/>
      <c r="F179" s="4"/>
      <c r="G179" s="4"/>
      <c r="H179" s="4"/>
      <c r="I179" s="4"/>
    </row>
    <row r="180" spans="3:9" ht="19.95" customHeight="1" x14ac:dyDescent="0.3">
      <c r="C180" s="4"/>
      <c r="D180" s="4"/>
      <c r="E180" s="4"/>
      <c r="F180" s="4"/>
      <c r="G180" s="4"/>
      <c r="H180" s="4"/>
      <c r="I180" s="4"/>
    </row>
    <row r="181" spans="3:9" ht="19.95" customHeight="1" x14ac:dyDescent="0.3">
      <c r="C181" s="4"/>
      <c r="D181" s="4"/>
      <c r="E181" s="4"/>
      <c r="F181" s="4"/>
      <c r="G181" s="4"/>
      <c r="H181" s="4"/>
      <c r="I181" s="4"/>
    </row>
    <row r="182" spans="3:9" ht="19.95" customHeight="1" x14ac:dyDescent="0.3">
      <c r="C182" s="4"/>
      <c r="D182" s="4"/>
      <c r="E182" s="4"/>
      <c r="F182" s="4"/>
      <c r="G182" s="4"/>
      <c r="H182" s="4"/>
      <c r="I182" s="4"/>
    </row>
    <row r="183" spans="3:9" ht="19.95" customHeight="1" x14ac:dyDescent="0.3">
      <c r="C183" s="4"/>
      <c r="D183" s="4"/>
      <c r="E183" s="4"/>
      <c r="F183" s="4"/>
      <c r="G183" s="4"/>
      <c r="H183" s="4"/>
      <c r="I183" s="4"/>
    </row>
    <row r="184" spans="3:9" ht="19.95" customHeight="1" x14ac:dyDescent="0.3">
      <c r="C184" s="4"/>
      <c r="D184" s="4"/>
      <c r="E184" s="4"/>
      <c r="F184" s="4"/>
      <c r="G184" s="4"/>
      <c r="H184" s="4"/>
      <c r="I184" s="4"/>
    </row>
    <row r="185" spans="3:9" ht="19.95" customHeight="1" x14ac:dyDescent="0.3">
      <c r="C185" s="4"/>
      <c r="D185" s="4"/>
      <c r="E185" s="4"/>
      <c r="F185" s="4"/>
      <c r="G185" s="4"/>
      <c r="H185" s="4"/>
      <c r="I185" s="4"/>
    </row>
    <row r="186" spans="3:9" ht="19.95" customHeight="1" x14ac:dyDescent="0.3">
      <c r="C186" s="4"/>
      <c r="D186" s="4"/>
      <c r="E186" s="4"/>
      <c r="F186" s="4"/>
      <c r="G186" s="4"/>
      <c r="H186" s="4"/>
      <c r="I186" s="4"/>
    </row>
    <row r="187" spans="3:9" ht="19.95" customHeight="1" x14ac:dyDescent="0.3">
      <c r="C187" s="4"/>
      <c r="D187" s="4"/>
      <c r="E187" s="4"/>
      <c r="F187" s="4"/>
      <c r="G187" s="4"/>
      <c r="H187" s="4"/>
      <c r="I187" s="4"/>
    </row>
    <row r="188" spans="3:9" ht="19.95" customHeight="1" x14ac:dyDescent="0.3">
      <c r="C188" s="4"/>
      <c r="D188" s="4"/>
      <c r="E188" s="4"/>
      <c r="F188" s="4"/>
      <c r="G188" s="4"/>
      <c r="H188" s="4"/>
      <c r="I188" s="4"/>
    </row>
    <row r="189" spans="3:9" ht="19.95" customHeight="1" x14ac:dyDescent="0.3">
      <c r="C189" s="4"/>
      <c r="D189" s="4"/>
      <c r="E189" s="4"/>
      <c r="F189" s="4"/>
      <c r="G189" s="4"/>
      <c r="H189" s="4"/>
      <c r="I189" s="4"/>
    </row>
    <row r="190" spans="3:9" ht="19.95" customHeight="1" x14ac:dyDescent="0.3">
      <c r="C190" s="4"/>
      <c r="D190" s="4"/>
      <c r="E190" s="4"/>
      <c r="F190" s="4"/>
      <c r="G190" s="4"/>
      <c r="H190" s="4"/>
      <c r="I190" s="4"/>
    </row>
    <row r="191" spans="3:9" ht="19.95" customHeight="1" x14ac:dyDescent="0.3">
      <c r="C191" s="4"/>
      <c r="D191" s="4"/>
      <c r="E191" s="4"/>
      <c r="F191" s="4"/>
      <c r="G191" s="4"/>
      <c r="H191" s="4"/>
      <c r="I191" s="4"/>
    </row>
    <row r="192" spans="3:9" ht="19.95" customHeight="1" x14ac:dyDescent="0.3">
      <c r="C192" s="4"/>
      <c r="D192" s="4"/>
      <c r="E192" s="4"/>
      <c r="F192" s="4"/>
      <c r="G192" s="4"/>
      <c r="H192" s="4"/>
      <c r="I192" s="4"/>
    </row>
    <row r="193" spans="3:9" ht="19.95" customHeight="1" x14ac:dyDescent="0.3">
      <c r="C193" s="4"/>
      <c r="D193" s="4"/>
      <c r="E193" s="4"/>
      <c r="F193" s="4"/>
      <c r="G193" s="4"/>
      <c r="H193" s="4"/>
      <c r="I193" s="4"/>
    </row>
    <row r="194" spans="3:9" ht="19.95" customHeight="1" x14ac:dyDescent="0.3">
      <c r="C194" s="4"/>
      <c r="D194" s="4"/>
      <c r="E194" s="4"/>
      <c r="F194" s="4"/>
      <c r="G194" s="4"/>
      <c r="H194" s="4"/>
      <c r="I194" s="4"/>
    </row>
    <row r="195" spans="3:9" ht="19.95" customHeight="1" x14ac:dyDescent="0.3">
      <c r="C195" s="4"/>
      <c r="D195" s="4"/>
      <c r="E195" s="4"/>
      <c r="F195" s="4"/>
      <c r="G195" s="4"/>
      <c r="H195" s="4"/>
      <c r="I195" s="4"/>
    </row>
    <row r="196" spans="3:9" ht="19.95" customHeight="1" x14ac:dyDescent="0.3">
      <c r="C196" s="4"/>
      <c r="D196" s="4"/>
      <c r="E196" s="4"/>
      <c r="F196" s="4"/>
      <c r="G196" s="4"/>
      <c r="H196" s="4"/>
      <c r="I196" s="4"/>
    </row>
    <row r="197" spans="3:9" ht="19.95" customHeight="1" x14ac:dyDescent="0.3">
      <c r="C197" s="4"/>
      <c r="D197" s="4"/>
      <c r="E197" s="4"/>
      <c r="F197" s="4"/>
      <c r="G197" s="4"/>
      <c r="H197" s="4"/>
      <c r="I197" s="4"/>
    </row>
    <row r="198" spans="3:9" ht="19.95" customHeight="1" x14ac:dyDescent="0.3">
      <c r="C198" s="4"/>
      <c r="D198" s="4"/>
      <c r="E198" s="4"/>
      <c r="F198" s="4"/>
      <c r="G198" s="4"/>
      <c r="H198" s="4"/>
      <c r="I198" s="4"/>
    </row>
    <row r="199" spans="3:9" ht="19.95" customHeight="1" x14ac:dyDescent="0.3">
      <c r="C199" s="4"/>
      <c r="D199" s="4"/>
      <c r="E199" s="4"/>
      <c r="F199" s="4"/>
      <c r="G199" s="4"/>
      <c r="H199" s="4"/>
      <c r="I199" s="4"/>
    </row>
    <row r="200" spans="3:9" ht="19.95" customHeight="1" x14ac:dyDescent="0.3">
      <c r="C200" s="4"/>
      <c r="D200" s="4"/>
      <c r="E200" s="4"/>
      <c r="F200" s="4"/>
      <c r="G200" s="4"/>
      <c r="H200" s="4"/>
      <c r="I200" s="4"/>
    </row>
    <row r="201" spans="3:9" ht="19.95" customHeight="1" x14ac:dyDescent="0.3">
      <c r="C201" s="4"/>
      <c r="D201" s="4"/>
      <c r="E201" s="4"/>
      <c r="F201" s="4"/>
      <c r="G201" s="4"/>
      <c r="H201" s="4"/>
      <c r="I201" s="4"/>
    </row>
    <row r="202" spans="3:9" ht="19.95" customHeight="1" x14ac:dyDescent="0.3">
      <c r="C202" s="4"/>
      <c r="D202" s="4"/>
      <c r="E202" s="4"/>
      <c r="F202" s="4"/>
      <c r="G202" s="4"/>
      <c r="H202" s="4"/>
      <c r="I202" s="4"/>
    </row>
    <row r="203" spans="3:9" ht="19.95" customHeight="1" x14ac:dyDescent="0.3">
      <c r="C203" s="4"/>
      <c r="D203" s="4"/>
      <c r="E203" s="4"/>
      <c r="F203" s="4"/>
      <c r="G203" s="4"/>
      <c r="H203" s="4"/>
      <c r="I203" s="4"/>
    </row>
    <row r="204" spans="3:9" ht="19.95" customHeight="1" x14ac:dyDescent="0.3">
      <c r="C204" s="4"/>
      <c r="D204" s="4"/>
      <c r="E204" s="4"/>
      <c r="F204" s="4"/>
      <c r="G204" s="4"/>
      <c r="H204" s="4"/>
      <c r="I204" s="4"/>
    </row>
    <row r="205" spans="3:9" ht="19.95" customHeight="1" x14ac:dyDescent="0.3">
      <c r="C205" s="4"/>
      <c r="D205" s="4"/>
      <c r="E205" s="4"/>
      <c r="F205" s="4"/>
      <c r="G205" s="4"/>
      <c r="H205" s="4"/>
      <c r="I205" s="4"/>
    </row>
    <row r="206" spans="3:9" ht="19.95" customHeight="1" x14ac:dyDescent="0.3">
      <c r="C206" s="4"/>
      <c r="D206" s="4"/>
      <c r="E206" s="4"/>
      <c r="F206" s="4"/>
      <c r="G206" s="4"/>
      <c r="H206" s="4"/>
      <c r="I206" s="4"/>
    </row>
    <row r="207" spans="3:9" ht="19.95" customHeight="1" x14ac:dyDescent="0.3">
      <c r="C207" s="4"/>
      <c r="D207" s="4"/>
      <c r="E207" s="4"/>
      <c r="F207" s="4"/>
      <c r="G207" s="4"/>
      <c r="H207" s="4"/>
      <c r="I207" s="4"/>
    </row>
    <row r="208" spans="3:9" ht="19.95" customHeight="1" x14ac:dyDescent="0.3">
      <c r="C208" s="4"/>
      <c r="D208" s="4"/>
      <c r="E208" s="4"/>
      <c r="F208" s="4"/>
      <c r="G208" s="4"/>
      <c r="H208" s="4"/>
      <c r="I208" s="4"/>
    </row>
    <row r="209" spans="3:9" ht="19.95" customHeight="1" x14ac:dyDescent="0.3">
      <c r="C209" s="4"/>
      <c r="D209" s="4"/>
      <c r="E209" s="4"/>
      <c r="F209" s="4"/>
      <c r="G209" s="4"/>
      <c r="H209" s="4"/>
      <c r="I209" s="4"/>
    </row>
    <row r="210" spans="3:9" ht="19.95" customHeight="1" x14ac:dyDescent="0.3">
      <c r="C210" s="4"/>
      <c r="D210" s="4"/>
      <c r="E210" s="4"/>
      <c r="F210" s="4"/>
      <c r="G210" s="4"/>
      <c r="H210" s="4"/>
      <c r="I210" s="4"/>
    </row>
    <row r="211" spans="3:9" ht="19.95" customHeight="1" x14ac:dyDescent="0.3">
      <c r="C211" s="4"/>
      <c r="D211" s="4"/>
      <c r="E211" s="4"/>
      <c r="F211" s="4"/>
      <c r="G211" s="4"/>
      <c r="H211" s="4"/>
      <c r="I211" s="4"/>
    </row>
    <row r="212" spans="3:9" ht="19.95" customHeight="1" x14ac:dyDescent="0.3">
      <c r="C212" s="4"/>
      <c r="D212" s="4"/>
      <c r="E212" s="4"/>
      <c r="F212" s="4"/>
      <c r="G212" s="4"/>
      <c r="H212" s="4"/>
      <c r="I212" s="4"/>
    </row>
    <row r="213" spans="3:9" ht="19.95" customHeight="1" x14ac:dyDescent="0.3">
      <c r="C213" s="4"/>
      <c r="D213" s="4"/>
      <c r="E213" s="4"/>
      <c r="F213" s="4"/>
      <c r="G213" s="4"/>
      <c r="H213" s="4"/>
      <c r="I213" s="4"/>
    </row>
    <row r="214" spans="3:9" ht="19.95" customHeight="1" x14ac:dyDescent="0.3">
      <c r="C214" s="4"/>
      <c r="D214" s="4"/>
      <c r="E214" s="4"/>
      <c r="F214" s="4"/>
      <c r="G214" s="4"/>
      <c r="H214" s="4"/>
      <c r="I214" s="4"/>
    </row>
    <row r="215" spans="3:9" ht="19.95" customHeight="1" x14ac:dyDescent="0.3">
      <c r="C215" s="4"/>
      <c r="D215" s="4"/>
      <c r="E215" s="4"/>
      <c r="F215" s="4"/>
      <c r="G215" s="4"/>
      <c r="H215" s="4"/>
      <c r="I215" s="4"/>
    </row>
    <row r="216" spans="3:9" ht="19.95" customHeight="1" x14ac:dyDescent="0.3">
      <c r="C216" s="4"/>
      <c r="D216" s="4"/>
      <c r="E216" s="4"/>
      <c r="F216" s="4"/>
      <c r="G216" s="4"/>
      <c r="H216" s="4"/>
      <c r="I216" s="4"/>
    </row>
    <row r="217" spans="3:9" ht="19.95" customHeight="1" x14ac:dyDescent="0.3">
      <c r="C217" s="4"/>
      <c r="D217" s="4"/>
      <c r="E217" s="4"/>
      <c r="F217" s="4"/>
      <c r="G217" s="4"/>
      <c r="H217" s="4"/>
      <c r="I217" s="4"/>
    </row>
    <row r="218" spans="3:9" ht="19.95" customHeight="1" x14ac:dyDescent="0.3">
      <c r="C218" s="4"/>
      <c r="D218" s="4"/>
      <c r="E218" s="4"/>
      <c r="F218" s="4"/>
      <c r="G218" s="4"/>
      <c r="H218" s="4"/>
      <c r="I218" s="4"/>
    </row>
    <row r="219" spans="3:9" ht="19.95" customHeight="1" x14ac:dyDescent="0.3">
      <c r="C219" s="4"/>
      <c r="D219" s="4"/>
      <c r="E219" s="4"/>
      <c r="F219" s="4"/>
      <c r="G219" s="4"/>
      <c r="H219" s="4"/>
      <c r="I219" s="4"/>
    </row>
    <row r="220" spans="3:9" ht="19.95" customHeight="1" x14ac:dyDescent="0.3">
      <c r="C220" s="4"/>
      <c r="D220" s="4"/>
      <c r="E220" s="4"/>
      <c r="F220" s="4"/>
      <c r="G220" s="4"/>
      <c r="H220" s="4"/>
      <c r="I220" s="4"/>
    </row>
    <row r="221" spans="3:9" ht="19.95" customHeight="1" x14ac:dyDescent="0.3">
      <c r="C221" s="4"/>
      <c r="D221" s="4"/>
      <c r="E221" s="4"/>
      <c r="F221" s="4"/>
      <c r="G221" s="4"/>
      <c r="H221" s="4"/>
      <c r="I221" s="4"/>
    </row>
    <row r="222" spans="3:9" ht="19.95" customHeight="1" x14ac:dyDescent="0.3">
      <c r="C222" s="4"/>
      <c r="D222" s="4"/>
      <c r="E222" s="4"/>
      <c r="F222" s="4"/>
      <c r="G222" s="4"/>
      <c r="H222" s="4"/>
      <c r="I222" s="4"/>
    </row>
    <row r="223" spans="3:9" ht="19.95" customHeight="1" x14ac:dyDescent="0.3">
      <c r="C223" s="4"/>
      <c r="D223" s="4"/>
      <c r="E223" s="4"/>
      <c r="F223" s="4"/>
      <c r="G223" s="4"/>
      <c r="H223" s="4"/>
      <c r="I223" s="4"/>
    </row>
    <row r="224" spans="3:9" ht="19.95" customHeight="1" x14ac:dyDescent="0.3">
      <c r="C224" s="4"/>
      <c r="D224" s="4"/>
      <c r="E224" s="4"/>
      <c r="F224" s="4"/>
      <c r="G224" s="4"/>
      <c r="H224" s="4"/>
      <c r="I224" s="4"/>
    </row>
    <row r="225" spans="3:9" ht="19.95" customHeight="1" x14ac:dyDescent="0.3">
      <c r="C225" s="4"/>
      <c r="D225" s="4"/>
      <c r="E225" s="4"/>
      <c r="F225" s="4"/>
      <c r="G225" s="4"/>
      <c r="H225" s="4"/>
      <c r="I225" s="4"/>
    </row>
    <row r="226" spans="3:9" ht="19.95" customHeight="1" x14ac:dyDescent="0.3">
      <c r="C226" s="4"/>
      <c r="D226" s="4"/>
      <c r="E226" s="4"/>
      <c r="F226" s="4"/>
      <c r="G226" s="4"/>
      <c r="H226" s="4"/>
      <c r="I226" s="4"/>
    </row>
    <row r="227" spans="3:9" ht="19.95" customHeight="1" x14ac:dyDescent="0.3">
      <c r="C227" s="4"/>
      <c r="D227" s="4"/>
      <c r="E227" s="4"/>
      <c r="F227" s="4"/>
      <c r="G227" s="4"/>
      <c r="H227" s="4"/>
      <c r="I227" s="4"/>
    </row>
    <row r="228" spans="3:9" ht="19.95" customHeight="1" x14ac:dyDescent="0.3">
      <c r="C228" s="4"/>
      <c r="D228" s="4"/>
      <c r="E228" s="4"/>
      <c r="F228" s="4"/>
      <c r="G228" s="4"/>
      <c r="H228" s="4"/>
      <c r="I228" s="4"/>
    </row>
    <row r="229" spans="3:9" ht="19.95" customHeight="1" x14ac:dyDescent="0.3">
      <c r="C229" s="4"/>
      <c r="D229" s="4"/>
      <c r="E229" s="4"/>
      <c r="F229" s="4"/>
      <c r="G229" s="4"/>
      <c r="H229" s="4"/>
      <c r="I229" s="4"/>
    </row>
    <row r="230" spans="3:9" ht="19.95" customHeight="1" x14ac:dyDescent="0.3">
      <c r="C230" s="4"/>
      <c r="D230" s="4"/>
      <c r="E230" s="4"/>
      <c r="F230" s="4"/>
      <c r="G230" s="4"/>
      <c r="H230" s="4"/>
      <c r="I230" s="4"/>
    </row>
    <row r="231" spans="3:9" ht="19.95" customHeight="1" x14ac:dyDescent="0.3">
      <c r="C231" s="4"/>
      <c r="D231" s="4"/>
      <c r="E231" s="4"/>
      <c r="F231" s="4"/>
      <c r="G231" s="4"/>
      <c r="H231" s="4"/>
      <c r="I231" s="4"/>
    </row>
    <row r="232" spans="3:9" ht="19.95" customHeight="1" x14ac:dyDescent="0.3">
      <c r="C232" s="4"/>
      <c r="D232" s="4"/>
      <c r="E232" s="4"/>
      <c r="F232" s="4"/>
      <c r="G232" s="4"/>
      <c r="H232" s="4"/>
      <c r="I232" s="4"/>
    </row>
    <row r="233" spans="3:9" ht="19.95" customHeight="1" x14ac:dyDescent="0.3">
      <c r="C233" s="4"/>
      <c r="D233" s="4"/>
      <c r="E233" s="4"/>
      <c r="F233" s="4"/>
      <c r="G233" s="4"/>
      <c r="H233" s="4"/>
      <c r="I233" s="4"/>
    </row>
    <row r="234" spans="3:9" ht="19.95" customHeight="1" x14ac:dyDescent="0.3">
      <c r="C234" s="4"/>
      <c r="D234" s="4"/>
      <c r="E234" s="4"/>
      <c r="F234" s="4"/>
      <c r="G234" s="4"/>
      <c r="H234" s="4"/>
      <c r="I234" s="4"/>
    </row>
    <row r="235" spans="3:9" ht="19.95" customHeight="1" x14ac:dyDescent="0.3">
      <c r="C235" s="4"/>
      <c r="D235" s="4"/>
      <c r="E235" s="4"/>
      <c r="F235" s="4"/>
      <c r="G235" s="4"/>
      <c r="H235" s="4"/>
      <c r="I235" s="4"/>
    </row>
    <row r="236" spans="3:9" ht="19.95" customHeight="1" x14ac:dyDescent="0.3">
      <c r="C236" s="4"/>
      <c r="D236" s="4"/>
      <c r="E236" s="4"/>
      <c r="F236" s="4"/>
      <c r="G236" s="4"/>
      <c r="H236" s="4"/>
      <c r="I236" s="4"/>
    </row>
    <row r="237" spans="3:9" ht="19.95" customHeight="1" x14ac:dyDescent="0.3">
      <c r="C237" s="4"/>
      <c r="D237" s="4"/>
      <c r="E237" s="4"/>
      <c r="F237" s="4"/>
      <c r="G237" s="4"/>
      <c r="H237" s="4"/>
      <c r="I237" s="4"/>
    </row>
    <row r="238" spans="3:9" ht="19.95" customHeight="1" x14ac:dyDescent="0.3">
      <c r="C238" s="4"/>
      <c r="D238" s="4"/>
      <c r="E238" s="4"/>
      <c r="F238" s="4"/>
      <c r="G238" s="4"/>
      <c r="H238" s="4"/>
      <c r="I238" s="4"/>
    </row>
    <row r="239" spans="3:9" ht="19.95" customHeight="1" x14ac:dyDescent="0.3">
      <c r="C239" s="4"/>
      <c r="D239" s="4"/>
      <c r="E239" s="4"/>
      <c r="F239" s="4"/>
      <c r="G239" s="4"/>
      <c r="H239" s="4"/>
      <c r="I239" s="4"/>
    </row>
    <row r="240" spans="3:9" ht="19.95" customHeight="1" x14ac:dyDescent="0.3">
      <c r="C240" s="4"/>
      <c r="D240" s="4"/>
      <c r="E240" s="4"/>
      <c r="F240" s="4"/>
      <c r="G240" s="4"/>
      <c r="H240" s="4"/>
      <c r="I240" s="4"/>
    </row>
    <row r="241" spans="3:9" ht="19.95" customHeight="1" x14ac:dyDescent="0.3">
      <c r="C241" s="4"/>
      <c r="D241" s="4"/>
      <c r="E241" s="4"/>
      <c r="F241" s="4"/>
      <c r="G241" s="4"/>
      <c r="H241" s="4"/>
      <c r="I241" s="4"/>
    </row>
    <row r="242" spans="3:9" ht="19.95" customHeight="1" x14ac:dyDescent="0.3">
      <c r="C242" s="4"/>
      <c r="D242" s="4"/>
      <c r="E242" s="4"/>
      <c r="F242" s="4"/>
      <c r="G242" s="4"/>
      <c r="H242" s="4"/>
      <c r="I242" s="4"/>
    </row>
    <row r="243" spans="3:9" ht="19.95" customHeight="1" x14ac:dyDescent="0.3">
      <c r="C243" s="4"/>
      <c r="D243" s="4"/>
      <c r="E243" s="4"/>
      <c r="F243" s="4"/>
      <c r="G243" s="4"/>
      <c r="H243" s="4"/>
      <c r="I243" s="4"/>
    </row>
    <row r="244" spans="3:9" ht="19.95" customHeight="1" x14ac:dyDescent="0.3">
      <c r="C244" s="4"/>
      <c r="D244" s="4"/>
      <c r="E244" s="4"/>
      <c r="F244" s="4"/>
      <c r="G244" s="4"/>
      <c r="H244" s="4"/>
      <c r="I244" s="4"/>
    </row>
    <row r="245" spans="3:9" ht="19.95" customHeight="1" x14ac:dyDescent="0.3">
      <c r="C245" s="4"/>
      <c r="D245" s="4"/>
      <c r="E245" s="4"/>
      <c r="F245" s="4"/>
      <c r="G245" s="4"/>
      <c r="H245" s="4"/>
      <c r="I245" s="4"/>
    </row>
    <row r="246" spans="3:9" ht="19.95" customHeight="1" x14ac:dyDescent="0.3">
      <c r="C246" s="4"/>
      <c r="D246" s="4"/>
      <c r="E246" s="4"/>
      <c r="F246" s="4"/>
      <c r="G246" s="4"/>
      <c r="H246" s="4"/>
      <c r="I246" s="4"/>
    </row>
  </sheetData>
  <autoFilter ref="T3:U22" xr:uid="{7257BBF2-B4F0-D040-AC5B-CB3EE8CAABC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1F508-E518-4A96-9381-375B462EF279}">
  <dimension ref="A1:I1"/>
  <sheetViews>
    <sheetView workbookViewId="0">
      <selection activeCell="K1" sqref="K1"/>
    </sheetView>
  </sheetViews>
  <sheetFormatPr defaultRowHeight="15.6" x14ac:dyDescent="0.3"/>
  <cols>
    <col min="2" max="2" width="8.19921875" bestFit="1" customWidth="1"/>
    <col min="3" max="3" width="8.8984375" bestFit="1" customWidth="1"/>
    <col min="4" max="4" width="7.5" bestFit="1" customWidth="1"/>
    <col min="5" max="6" width="6.69921875" bestFit="1" customWidth="1"/>
    <col min="7" max="7" width="8" bestFit="1" customWidth="1"/>
    <col min="8" max="8" width="6.69921875" bestFit="1" customWidth="1"/>
    <col min="9" max="9" width="13.09765625" customWidth="1"/>
  </cols>
  <sheetData>
    <row r="1" spans="1:9" ht="111.6" x14ac:dyDescent="0.3">
      <c r="A1" s="32" t="s">
        <v>127</v>
      </c>
      <c r="B1" s="33" t="s">
        <v>128</v>
      </c>
      <c r="C1" s="33" t="s">
        <v>129</v>
      </c>
      <c r="D1" s="34" t="s">
        <v>130</v>
      </c>
      <c r="E1" s="34" t="s">
        <v>131</v>
      </c>
      <c r="F1" s="34" t="s">
        <v>132</v>
      </c>
      <c r="G1" s="34" t="s">
        <v>133</v>
      </c>
      <c r="H1" s="35" t="s">
        <v>134</v>
      </c>
      <c r="I1" s="36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89F00-3A23-4532-85AA-4A3F606B8575}">
  <dimension ref="B3:B120"/>
  <sheetViews>
    <sheetView workbookViewId="0">
      <selection activeCell="B2" sqref="B2"/>
    </sheetView>
  </sheetViews>
  <sheetFormatPr defaultRowHeight="15.6" x14ac:dyDescent="0.3"/>
  <sheetData>
    <row r="3" spans="2:2" x14ac:dyDescent="0.3">
      <c r="B3" t="s">
        <v>136</v>
      </c>
    </row>
    <row r="4" spans="2:2" x14ac:dyDescent="0.3">
      <c r="B4" t="s">
        <v>118</v>
      </c>
    </row>
    <row r="5" spans="2:2" x14ac:dyDescent="0.3">
      <c r="B5" t="s">
        <v>119</v>
      </c>
    </row>
    <row r="6" spans="2:2" x14ac:dyDescent="0.3">
      <c r="B6" t="s">
        <v>115</v>
      </c>
    </row>
    <row r="8" spans="2:2" x14ac:dyDescent="0.3">
      <c r="B8" t="s">
        <v>137</v>
      </c>
    </row>
    <row r="9" spans="2:2" x14ac:dyDescent="0.3">
      <c r="B9" t="s">
        <v>123</v>
      </c>
    </row>
    <row r="10" spans="2:2" x14ac:dyDescent="0.3">
      <c r="B10" t="s">
        <v>122</v>
      </c>
    </row>
    <row r="12" spans="2:2" x14ac:dyDescent="0.3">
      <c r="B12" t="s">
        <v>138</v>
      </c>
    </row>
    <row r="13" spans="2:2" x14ac:dyDescent="0.3">
      <c r="B13" t="s">
        <v>107</v>
      </c>
    </row>
    <row r="15" spans="2:2" x14ac:dyDescent="0.3">
      <c r="B15" t="s">
        <v>139</v>
      </c>
    </row>
    <row r="16" spans="2:2" x14ac:dyDescent="0.3">
      <c r="B16" t="s">
        <v>94</v>
      </c>
    </row>
    <row r="17" spans="2:2" x14ac:dyDescent="0.3">
      <c r="B17" t="s">
        <v>90</v>
      </c>
    </row>
    <row r="18" spans="2:2" x14ac:dyDescent="0.3">
      <c r="B18" t="s">
        <v>90</v>
      </c>
    </row>
    <row r="19" spans="2:2" x14ac:dyDescent="0.3">
      <c r="B19" t="s">
        <v>91</v>
      </c>
    </row>
    <row r="20" spans="2:2" x14ac:dyDescent="0.3">
      <c r="B20" t="s">
        <v>95</v>
      </c>
    </row>
    <row r="22" spans="2:2" x14ac:dyDescent="0.3">
      <c r="B22" t="s">
        <v>140</v>
      </c>
    </row>
    <row r="23" spans="2:2" x14ac:dyDescent="0.3">
      <c r="B23" t="s">
        <v>80</v>
      </c>
    </row>
    <row r="24" spans="2:2" x14ac:dyDescent="0.3">
      <c r="B24" t="s">
        <v>83</v>
      </c>
    </row>
    <row r="25" spans="2:2" x14ac:dyDescent="0.3">
      <c r="B25" t="s">
        <v>79</v>
      </c>
    </row>
    <row r="26" spans="2:2" x14ac:dyDescent="0.3">
      <c r="B26" t="s">
        <v>64</v>
      </c>
    </row>
    <row r="27" spans="2:2" x14ac:dyDescent="0.3">
      <c r="B27" t="s">
        <v>77</v>
      </c>
    </row>
    <row r="28" spans="2:2" x14ac:dyDescent="0.3">
      <c r="B28" t="s">
        <v>81</v>
      </c>
    </row>
    <row r="29" spans="2:2" x14ac:dyDescent="0.3">
      <c r="B29" t="s">
        <v>102</v>
      </c>
    </row>
    <row r="30" spans="2:2" x14ac:dyDescent="0.3">
      <c r="B30" t="s">
        <v>82</v>
      </c>
    </row>
    <row r="31" spans="2:2" x14ac:dyDescent="0.3">
      <c r="B31" t="s">
        <v>78</v>
      </c>
    </row>
    <row r="32" spans="2:2" x14ac:dyDescent="0.3">
      <c r="B32" t="s">
        <v>61</v>
      </c>
    </row>
    <row r="33" spans="2:2" x14ac:dyDescent="0.3">
      <c r="B33" t="s">
        <v>62</v>
      </c>
    </row>
    <row r="34" spans="2:2" x14ac:dyDescent="0.3">
      <c r="B34" t="s">
        <v>65</v>
      </c>
    </row>
    <row r="36" spans="2:2" x14ac:dyDescent="0.3">
      <c r="B36" t="s">
        <v>143</v>
      </c>
    </row>
    <row r="37" spans="2:2" x14ac:dyDescent="0.3">
      <c r="B37" t="s">
        <v>46</v>
      </c>
    </row>
    <row r="38" spans="2:2" x14ac:dyDescent="0.3">
      <c r="B38" t="s">
        <v>50</v>
      </c>
    </row>
    <row r="39" spans="2:2" x14ac:dyDescent="0.3">
      <c r="B39" t="s">
        <v>48</v>
      </c>
    </row>
    <row r="41" spans="2:2" x14ac:dyDescent="0.3">
      <c r="B41" t="s">
        <v>141</v>
      </c>
    </row>
    <row r="42" spans="2:2" x14ac:dyDescent="0.3">
      <c r="B42" t="s">
        <v>111</v>
      </c>
    </row>
    <row r="43" spans="2:2" x14ac:dyDescent="0.3">
      <c r="B43" t="s">
        <v>104</v>
      </c>
    </row>
    <row r="44" spans="2:2" x14ac:dyDescent="0.3">
      <c r="B44" t="s">
        <v>106</v>
      </c>
    </row>
    <row r="45" spans="2:2" x14ac:dyDescent="0.3">
      <c r="B45" t="s">
        <v>112</v>
      </c>
    </row>
    <row r="46" spans="2:2" x14ac:dyDescent="0.3">
      <c r="B46" t="s">
        <v>110</v>
      </c>
    </row>
    <row r="48" spans="2:2" x14ac:dyDescent="0.3">
      <c r="B48" t="s">
        <v>142</v>
      </c>
    </row>
    <row r="49" spans="2:2" x14ac:dyDescent="0.3">
      <c r="B49" t="s">
        <v>126</v>
      </c>
    </row>
    <row r="50" spans="2:2" x14ac:dyDescent="0.3">
      <c r="B50" t="s">
        <v>121</v>
      </c>
    </row>
    <row r="51" spans="2:2" x14ac:dyDescent="0.3">
      <c r="B51" t="s">
        <v>125</v>
      </c>
    </row>
    <row r="53" spans="2:2" x14ac:dyDescent="0.3">
      <c r="B53" t="s">
        <v>144</v>
      </c>
    </row>
    <row r="54" spans="2:2" x14ac:dyDescent="0.3">
      <c r="B54" t="s">
        <v>85</v>
      </c>
    </row>
    <row r="55" spans="2:2" x14ac:dyDescent="0.3">
      <c r="B55" t="s">
        <v>88</v>
      </c>
    </row>
    <row r="56" spans="2:2" x14ac:dyDescent="0.3">
      <c r="B56" t="s">
        <v>89</v>
      </c>
    </row>
    <row r="57" spans="2:2" x14ac:dyDescent="0.3">
      <c r="B57" t="s">
        <v>87</v>
      </c>
    </row>
    <row r="58" spans="2:2" x14ac:dyDescent="0.3">
      <c r="B58" t="s">
        <v>84</v>
      </c>
    </row>
    <row r="60" spans="2:2" x14ac:dyDescent="0.3">
      <c r="B60" t="s">
        <v>145</v>
      </c>
    </row>
    <row r="61" spans="2:2" x14ac:dyDescent="0.3">
      <c r="B61" t="s">
        <v>43</v>
      </c>
    </row>
    <row r="62" spans="2:2" x14ac:dyDescent="0.3">
      <c r="B62" t="s">
        <v>23</v>
      </c>
    </row>
    <row r="63" spans="2:2" x14ac:dyDescent="0.3">
      <c r="B63" t="s">
        <v>39</v>
      </c>
    </row>
    <row r="64" spans="2:2" x14ac:dyDescent="0.3">
      <c r="B64" t="s">
        <v>19</v>
      </c>
    </row>
    <row r="65" spans="2:2" x14ac:dyDescent="0.3">
      <c r="B65" t="s">
        <v>45</v>
      </c>
    </row>
    <row r="66" spans="2:2" x14ac:dyDescent="0.3">
      <c r="B66" t="s">
        <v>35</v>
      </c>
    </row>
    <row r="67" spans="2:2" x14ac:dyDescent="0.3">
      <c r="B67" t="s">
        <v>21</v>
      </c>
    </row>
    <row r="68" spans="2:2" x14ac:dyDescent="0.3">
      <c r="B68" t="s">
        <v>25</v>
      </c>
    </row>
    <row r="69" spans="2:2" x14ac:dyDescent="0.3">
      <c r="B69" t="s">
        <v>15</v>
      </c>
    </row>
    <row r="70" spans="2:2" x14ac:dyDescent="0.3">
      <c r="B70" t="s">
        <v>31</v>
      </c>
    </row>
    <row r="71" spans="2:2" x14ac:dyDescent="0.3">
      <c r="B71" t="s">
        <v>29</v>
      </c>
    </row>
    <row r="72" spans="2:2" x14ac:dyDescent="0.3">
      <c r="B72" t="s">
        <v>41</v>
      </c>
    </row>
    <row r="73" spans="2:2" x14ac:dyDescent="0.3">
      <c r="B73" t="s">
        <v>27</v>
      </c>
    </row>
    <row r="74" spans="2:2" x14ac:dyDescent="0.3">
      <c r="B74" t="s">
        <v>37</v>
      </c>
    </row>
    <row r="75" spans="2:2" x14ac:dyDescent="0.3">
      <c r="B75" t="s">
        <v>17</v>
      </c>
    </row>
    <row r="76" spans="2:2" x14ac:dyDescent="0.3">
      <c r="B76" t="s">
        <v>33</v>
      </c>
    </row>
    <row r="78" spans="2:2" x14ac:dyDescent="0.3">
      <c r="B78" t="s">
        <v>146</v>
      </c>
    </row>
    <row r="79" spans="2:2" x14ac:dyDescent="0.3">
      <c r="B79" t="s">
        <v>108</v>
      </c>
    </row>
    <row r="80" spans="2:2" x14ac:dyDescent="0.3">
      <c r="B80" t="s">
        <v>117</v>
      </c>
    </row>
    <row r="81" spans="2:2" x14ac:dyDescent="0.3">
      <c r="B81" t="s">
        <v>120</v>
      </c>
    </row>
    <row r="82" spans="2:2" x14ac:dyDescent="0.3">
      <c r="B82" t="s">
        <v>109</v>
      </c>
    </row>
    <row r="83" spans="2:2" x14ac:dyDescent="0.3">
      <c r="B83" t="s">
        <v>114</v>
      </c>
    </row>
    <row r="85" spans="2:2" x14ac:dyDescent="0.3">
      <c r="B85" t="s">
        <v>147</v>
      </c>
    </row>
    <row r="86" spans="2:2" x14ac:dyDescent="0.3">
      <c r="B86" t="s">
        <v>69</v>
      </c>
    </row>
    <row r="87" spans="2:2" x14ac:dyDescent="0.3">
      <c r="B87" t="s">
        <v>70</v>
      </c>
    </row>
    <row r="88" spans="2:2" x14ac:dyDescent="0.3">
      <c r="B88" t="s">
        <v>113</v>
      </c>
    </row>
    <row r="89" spans="2:2" x14ac:dyDescent="0.3">
      <c r="B89" t="s">
        <v>66</v>
      </c>
    </row>
    <row r="90" spans="2:2" x14ac:dyDescent="0.3">
      <c r="B90" t="s">
        <v>67</v>
      </c>
    </row>
    <row r="91" spans="2:2" x14ac:dyDescent="0.3">
      <c r="B91" t="s">
        <v>86</v>
      </c>
    </row>
    <row r="92" spans="2:2" x14ac:dyDescent="0.3">
      <c r="B92" t="s">
        <v>68</v>
      </c>
    </row>
    <row r="94" spans="2:2" x14ac:dyDescent="0.3">
      <c r="B94" t="s">
        <v>148</v>
      </c>
    </row>
    <row r="95" spans="2:2" x14ac:dyDescent="0.3">
      <c r="B95" t="s">
        <v>96</v>
      </c>
    </row>
    <row r="96" spans="2:2" x14ac:dyDescent="0.3">
      <c r="B96" t="s">
        <v>97</v>
      </c>
    </row>
    <row r="98" spans="2:2" x14ac:dyDescent="0.3">
      <c r="B98" t="s">
        <v>149</v>
      </c>
    </row>
    <row r="99" spans="2:2" x14ac:dyDescent="0.3">
      <c r="B99" t="s">
        <v>58</v>
      </c>
    </row>
    <row r="100" spans="2:2" x14ac:dyDescent="0.3">
      <c r="B100" t="s">
        <v>57</v>
      </c>
    </row>
    <row r="101" spans="2:2" x14ac:dyDescent="0.3">
      <c r="B101" t="s">
        <v>52</v>
      </c>
    </row>
    <row r="102" spans="2:2" x14ac:dyDescent="0.3">
      <c r="B102" t="s">
        <v>56</v>
      </c>
    </row>
    <row r="103" spans="2:2" x14ac:dyDescent="0.3">
      <c r="B103" t="s">
        <v>124</v>
      </c>
    </row>
    <row r="104" spans="2:2" x14ac:dyDescent="0.3">
      <c r="B104" t="s">
        <v>60</v>
      </c>
    </row>
    <row r="105" spans="2:2" x14ac:dyDescent="0.3">
      <c r="B105" t="s">
        <v>72</v>
      </c>
    </row>
    <row r="106" spans="2:2" x14ac:dyDescent="0.3">
      <c r="B106" t="s">
        <v>103</v>
      </c>
    </row>
    <row r="107" spans="2:2" x14ac:dyDescent="0.3">
      <c r="B107" t="s">
        <v>54</v>
      </c>
    </row>
    <row r="108" spans="2:2" x14ac:dyDescent="0.3">
      <c r="B108" t="s">
        <v>73</v>
      </c>
    </row>
    <row r="109" spans="2:2" x14ac:dyDescent="0.3">
      <c r="B109" t="s">
        <v>71</v>
      </c>
    </row>
    <row r="110" spans="2:2" x14ac:dyDescent="0.3">
      <c r="B110" t="s">
        <v>74</v>
      </c>
    </row>
    <row r="111" spans="2:2" x14ac:dyDescent="0.3">
      <c r="B111" t="s">
        <v>55</v>
      </c>
    </row>
    <row r="112" spans="2:2" x14ac:dyDescent="0.3">
      <c r="B112" t="s">
        <v>75</v>
      </c>
    </row>
    <row r="114" spans="2:2" x14ac:dyDescent="0.3">
      <c r="B114" t="s">
        <v>150</v>
      </c>
    </row>
    <row r="115" spans="2:2" x14ac:dyDescent="0.3">
      <c r="B115" t="s">
        <v>100</v>
      </c>
    </row>
    <row r="116" spans="2:2" x14ac:dyDescent="0.3">
      <c r="B116" t="s">
        <v>101</v>
      </c>
    </row>
    <row r="117" spans="2:2" x14ac:dyDescent="0.3">
      <c r="B117" t="s">
        <v>99</v>
      </c>
    </row>
    <row r="118" spans="2:2" x14ac:dyDescent="0.3">
      <c r="B118" t="s">
        <v>105</v>
      </c>
    </row>
    <row r="119" spans="2:2" x14ac:dyDescent="0.3">
      <c r="B119" t="s">
        <v>98</v>
      </c>
    </row>
    <row r="120" spans="2:2" x14ac:dyDescent="0.3">
      <c r="B120" t="s">
        <v>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g_x01b0__x1edd_i xmlns="4c3f0b6a-1478-494e-a142-cc8cef5c522d">
      <UserInfo>
        <DisplayName/>
        <AccountId xsi:nil="true"/>
        <AccountType/>
      </UserInfo>
    </Ng_x01b0__x1edd_i>
    <lcf76f155ced4ddcb4097134ff3c332f xmlns="4c3f0b6a-1478-494e-a142-cc8cef5c522d">
      <Terms xmlns="http://schemas.microsoft.com/office/infopath/2007/PartnerControls"/>
    </lcf76f155ced4ddcb4097134ff3c332f>
    <TaxCatchAll xmlns="8fff69a8-8d5e-4ce7-8d04-fa956f06225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A4C245F253E142B76120FBAB98025C" ma:contentTypeVersion="18" ma:contentTypeDescription="Create a new document." ma:contentTypeScope="" ma:versionID="a1085de3e1f54b31c19cf03143e809d4">
  <xsd:schema xmlns:xsd="http://www.w3.org/2001/XMLSchema" xmlns:xs="http://www.w3.org/2001/XMLSchema" xmlns:p="http://schemas.microsoft.com/office/2006/metadata/properties" xmlns:ns2="4c3f0b6a-1478-494e-a142-cc8cef5c522d" xmlns:ns3="8fff69a8-8d5e-4ce7-8d04-fa956f062252" targetNamespace="http://schemas.microsoft.com/office/2006/metadata/properties" ma:root="true" ma:fieldsID="70572d7cb394599c3c7b158f5b49617d" ns2:_="" ns3:_="">
    <xsd:import namespace="4c3f0b6a-1478-494e-a142-cc8cef5c522d"/>
    <xsd:import namespace="8fff69a8-8d5e-4ce7-8d04-fa956f0622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Ng_x01b0__x1edd_i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3f0b6a-1478-494e-a142-cc8cef5c52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32eaa4f2-b640-4643-8256-6e6ddf51f5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Ng_x01b0__x1edd_i" ma:index="23" nillable="true" ma:displayName="Người" ma:format="Dropdown" ma:list="UserInfo" ma:SharePointGroup="0" ma:internalName="Ng_x01b0__x1edd_i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ff69a8-8d5e-4ce7-8d04-fa956f06225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16bf28-ed9e-47f9-8f94-de18334b6566}" ma:internalName="TaxCatchAll" ma:showField="CatchAllData" ma:web="8fff69a8-8d5e-4ce7-8d04-fa956f0622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B303E2-442C-4A61-B218-E50BC1580A2A}">
  <ds:schemaRefs>
    <ds:schemaRef ds:uri="http://purl.org/dc/dcmitype/"/>
    <ds:schemaRef ds:uri="8fff69a8-8d5e-4ce7-8d04-fa956f062252"/>
    <ds:schemaRef ds:uri="4c3f0b6a-1478-494e-a142-cc8cef5c522d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9DB21124-16B7-4A36-8F98-9CD9A770D1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85D0BD-3957-4D35-B16F-C39C20391A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3f0b6a-1478-494e-a142-cc8cef5c522d"/>
    <ds:schemaRef ds:uri="8fff69a8-8d5e-4ce7-8d04-fa956f0622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DPKD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Tran Huy</dc:creator>
  <cp:keywords/>
  <dc:description/>
  <cp:lastModifiedBy>dan nguyen</cp:lastModifiedBy>
  <cp:revision/>
  <dcterms:created xsi:type="dcterms:W3CDTF">2025-12-10T06:15:07Z</dcterms:created>
  <dcterms:modified xsi:type="dcterms:W3CDTF">2025-12-30T08:16:37Z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0x010100F4A4C245F253E142B76120FBAB98025C</vt:lpwstr>
  </property>
  <property fmtid="{D5CDD505-2E9C-101B-9397-08002B2CF9AE}" pid="3" name="MediaServiceImageTags">
    <vt:lpwstr/>
  </property>
</Properties>
</file>