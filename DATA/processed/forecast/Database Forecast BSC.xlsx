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uu_os/Documents/GitHub/stock_dashboard/"/>
    </mc:Choice>
  </mc:AlternateContent>
  <xr:revisionPtr revIDLastSave="0" documentId="13_ncr:1_{3AE1067C-3B7C-4043-8A05-7FDFBA5B6CB7}" xr6:coauthVersionLast="47" xr6:coauthVersionMax="47" xr10:uidLastSave="{00000000-0000-0000-0000-000000000000}"/>
  <bookViews>
    <workbookView xWindow="340" yWindow="760" windowWidth="30240" windowHeight="18880" xr2:uid="{2F9FDE31-C708-2F47-8DE1-9D8D9B216CF0}"/>
  </bookViews>
  <sheets>
    <sheet name="Sheet3" sheetId="3" r:id="rId1"/>
    <sheet name="Codedata" sheetId="2" r:id="rId2"/>
    <sheet name="Rawdata" sheetId="1" r:id="rId3"/>
  </sheets>
  <externalReferences>
    <externalReference r:id="rId4"/>
  </externalReferenc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2" i="2"/>
  <c r="F3" i="2"/>
  <c r="G3" i="2"/>
  <c r="H3" i="2"/>
  <c r="I3" i="2"/>
  <c r="J3" i="2"/>
  <c r="K3" i="2"/>
  <c r="L3" i="2"/>
  <c r="M3" i="2"/>
  <c r="N3" i="2"/>
  <c r="O3" i="2"/>
  <c r="F4" i="2"/>
  <c r="G4" i="2"/>
  <c r="H4" i="2"/>
  <c r="I4" i="2"/>
  <c r="J4" i="2"/>
  <c r="K4" i="2"/>
  <c r="L4" i="2"/>
  <c r="M4" i="2"/>
  <c r="N4" i="2"/>
  <c r="O4" i="2"/>
  <c r="F5" i="2"/>
  <c r="G5" i="2"/>
  <c r="H5" i="2"/>
  <c r="I5" i="2"/>
  <c r="J5" i="2"/>
  <c r="K5" i="2"/>
  <c r="L5" i="2"/>
  <c r="M5" i="2"/>
  <c r="N5" i="2"/>
  <c r="O5" i="2"/>
  <c r="F6" i="2"/>
  <c r="G6" i="2"/>
  <c r="H6" i="2"/>
  <c r="I6" i="2"/>
  <c r="J6" i="2"/>
  <c r="K6" i="2"/>
  <c r="L6" i="2"/>
  <c r="M6" i="2"/>
  <c r="N6" i="2"/>
  <c r="O6" i="2"/>
  <c r="F7" i="2"/>
  <c r="G7" i="2"/>
  <c r="H7" i="2"/>
  <c r="I7" i="2"/>
  <c r="J7" i="2"/>
  <c r="K7" i="2"/>
  <c r="L7" i="2"/>
  <c r="M7" i="2"/>
  <c r="N7" i="2"/>
  <c r="O7" i="2"/>
  <c r="F8" i="2"/>
  <c r="G8" i="2"/>
  <c r="H8" i="2"/>
  <c r="I8" i="2"/>
  <c r="J8" i="2"/>
  <c r="K8" i="2"/>
  <c r="L8" i="2"/>
  <c r="M8" i="2"/>
  <c r="N8" i="2"/>
  <c r="O8" i="2"/>
  <c r="F9" i="2"/>
  <c r="G9" i="2"/>
  <c r="H9" i="2"/>
  <c r="I9" i="2"/>
  <c r="J9" i="2"/>
  <c r="K9" i="2"/>
  <c r="L9" i="2"/>
  <c r="M9" i="2"/>
  <c r="N9" i="2"/>
  <c r="O9" i="2"/>
  <c r="F10" i="2"/>
  <c r="G10" i="2"/>
  <c r="H10" i="2"/>
  <c r="I10" i="2"/>
  <c r="J10" i="2"/>
  <c r="K10" i="2"/>
  <c r="L10" i="2"/>
  <c r="M10" i="2"/>
  <c r="N10" i="2"/>
  <c r="O10" i="2"/>
  <c r="F11" i="2"/>
  <c r="G11" i="2"/>
  <c r="H11" i="2"/>
  <c r="I11" i="2"/>
  <c r="J11" i="2"/>
  <c r="K11" i="2"/>
  <c r="L11" i="2"/>
  <c r="M11" i="2"/>
  <c r="N11" i="2"/>
  <c r="O11" i="2"/>
  <c r="F12" i="2"/>
  <c r="G12" i="2"/>
  <c r="H12" i="2"/>
  <c r="I12" i="2"/>
  <c r="J12" i="2"/>
  <c r="K12" i="2"/>
  <c r="L12" i="2"/>
  <c r="M12" i="2"/>
  <c r="N12" i="2"/>
  <c r="O12" i="2"/>
  <c r="F13" i="2"/>
  <c r="G13" i="2"/>
  <c r="H13" i="2"/>
  <c r="I13" i="2"/>
  <c r="J13" i="2"/>
  <c r="K13" i="2"/>
  <c r="L13" i="2"/>
  <c r="M13" i="2"/>
  <c r="N13" i="2"/>
  <c r="O13" i="2"/>
  <c r="F14" i="2"/>
  <c r="G14" i="2"/>
  <c r="H14" i="2"/>
  <c r="I14" i="2"/>
  <c r="J14" i="2"/>
  <c r="K14" i="2"/>
  <c r="L14" i="2"/>
  <c r="M14" i="2"/>
  <c r="N14" i="2"/>
  <c r="O14" i="2"/>
  <c r="F15" i="2"/>
  <c r="G15" i="2"/>
  <c r="H15" i="2"/>
  <c r="I15" i="2"/>
  <c r="J15" i="2"/>
  <c r="K15" i="2"/>
  <c r="L15" i="2"/>
  <c r="M15" i="2"/>
  <c r="N15" i="2"/>
  <c r="O15" i="2"/>
  <c r="F16" i="2"/>
  <c r="G16" i="2"/>
  <c r="H16" i="2"/>
  <c r="I16" i="2"/>
  <c r="J16" i="2"/>
  <c r="K16" i="2"/>
  <c r="L16" i="2"/>
  <c r="M16" i="2"/>
  <c r="N16" i="2"/>
  <c r="O16" i="2"/>
  <c r="F17" i="2"/>
  <c r="G17" i="2"/>
  <c r="H17" i="2"/>
  <c r="I17" i="2"/>
  <c r="J17" i="2"/>
  <c r="K17" i="2"/>
  <c r="L17" i="2"/>
  <c r="M17" i="2"/>
  <c r="N17" i="2"/>
  <c r="O17" i="2"/>
  <c r="F18" i="2"/>
  <c r="G18" i="2"/>
  <c r="H18" i="2"/>
  <c r="I18" i="2"/>
  <c r="J18" i="2"/>
  <c r="K18" i="2"/>
  <c r="L18" i="2"/>
  <c r="M18" i="2"/>
  <c r="N18" i="2"/>
  <c r="O18" i="2"/>
  <c r="F19" i="2"/>
  <c r="G19" i="2"/>
  <c r="H19" i="2"/>
  <c r="I19" i="2"/>
  <c r="J19" i="2"/>
  <c r="K19" i="2"/>
  <c r="L19" i="2"/>
  <c r="M19" i="2"/>
  <c r="N19" i="2"/>
  <c r="O19" i="2"/>
  <c r="F20" i="2"/>
  <c r="G20" i="2"/>
  <c r="H20" i="2"/>
  <c r="I20" i="2"/>
  <c r="J20" i="2"/>
  <c r="K20" i="2"/>
  <c r="L20" i="2"/>
  <c r="M20" i="2"/>
  <c r="N20" i="2"/>
  <c r="O20" i="2"/>
  <c r="F21" i="2"/>
  <c r="G21" i="2"/>
  <c r="H21" i="2"/>
  <c r="I21" i="2"/>
  <c r="J21" i="2"/>
  <c r="K21" i="2"/>
  <c r="L21" i="2"/>
  <c r="M21" i="2"/>
  <c r="N21" i="2"/>
  <c r="O21" i="2"/>
  <c r="F22" i="2"/>
  <c r="G22" i="2"/>
  <c r="H22" i="2"/>
  <c r="I22" i="2"/>
  <c r="J22" i="2"/>
  <c r="K22" i="2"/>
  <c r="L22" i="2"/>
  <c r="M22" i="2"/>
  <c r="N22" i="2"/>
  <c r="O22" i="2"/>
  <c r="F23" i="2"/>
  <c r="G23" i="2"/>
  <c r="H23" i="2"/>
  <c r="I23" i="2"/>
  <c r="J23" i="2"/>
  <c r="K23" i="2"/>
  <c r="L23" i="2"/>
  <c r="M23" i="2"/>
  <c r="N23" i="2"/>
  <c r="O23" i="2"/>
  <c r="F24" i="2"/>
  <c r="G24" i="2"/>
  <c r="H24" i="2"/>
  <c r="I24" i="2"/>
  <c r="J24" i="2"/>
  <c r="K24" i="2"/>
  <c r="L24" i="2"/>
  <c r="M24" i="2"/>
  <c r="N24" i="2"/>
  <c r="O24" i="2"/>
  <c r="F25" i="2"/>
  <c r="G25" i="2"/>
  <c r="H25" i="2"/>
  <c r="I25" i="2"/>
  <c r="J25" i="2"/>
  <c r="K25" i="2"/>
  <c r="L25" i="2"/>
  <c r="M25" i="2"/>
  <c r="N25" i="2"/>
  <c r="O25" i="2"/>
  <c r="F26" i="2"/>
  <c r="G26" i="2"/>
  <c r="H26" i="2"/>
  <c r="I26" i="2"/>
  <c r="J26" i="2"/>
  <c r="K26" i="2"/>
  <c r="L26" i="2"/>
  <c r="M26" i="2"/>
  <c r="N26" i="2"/>
  <c r="O26" i="2"/>
  <c r="F27" i="2"/>
  <c r="G27" i="2"/>
  <c r="H27" i="2"/>
  <c r="I27" i="2"/>
  <c r="J27" i="2"/>
  <c r="K27" i="2"/>
  <c r="L27" i="2"/>
  <c r="M27" i="2"/>
  <c r="N27" i="2"/>
  <c r="O27" i="2"/>
  <c r="F28" i="2"/>
  <c r="G28" i="2"/>
  <c r="H28" i="2"/>
  <c r="I28" i="2"/>
  <c r="J28" i="2"/>
  <c r="K28" i="2"/>
  <c r="L28" i="2"/>
  <c r="M28" i="2"/>
  <c r="N28" i="2"/>
  <c r="O28" i="2"/>
  <c r="F29" i="2"/>
  <c r="G29" i="2"/>
  <c r="H29" i="2"/>
  <c r="I29" i="2"/>
  <c r="J29" i="2"/>
  <c r="K29" i="2"/>
  <c r="L29" i="2"/>
  <c r="M29" i="2"/>
  <c r="N29" i="2"/>
  <c r="O29" i="2"/>
  <c r="F30" i="2"/>
  <c r="G30" i="2"/>
  <c r="H30" i="2"/>
  <c r="I30" i="2"/>
  <c r="J30" i="2"/>
  <c r="K30" i="2"/>
  <c r="L30" i="2"/>
  <c r="M30" i="2"/>
  <c r="N30" i="2"/>
  <c r="O30" i="2"/>
  <c r="F31" i="2"/>
  <c r="G31" i="2"/>
  <c r="H31" i="2"/>
  <c r="I31" i="2"/>
  <c r="J31" i="2"/>
  <c r="K31" i="2"/>
  <c r="L31" i="2"/>
  <c r="M31" i="2"/>
  <c r="N31" i="2"/>
  <c r="O31" i="2"/>
  <c r="F32" i="2"/>
  <c r="G32" i="2"/>
  <c r="H32" i="2"/>
  <c r="I32" i="2"/>
  <c r="J32" i="2"/>
  <c r="K32" i="2"/>
  <c r="L32" i="2"/>
  <c r="M32" i="2"/>
  <c r="N32" i="2"/>
  <c r="O32" i="2"/>
  <c r="F33" i="2"/>
  <c r="G33" i="2"/>
  <c r="H33" i="2"/>
  <c r="I33" i="2"/>
  <c r="J33" i="2"/>
  <c r="K33" i="2"/>
  <c r="L33" i="2"/>
  <c r="M33" i="2"/>
  <c r="N33" i="2"/>
  <c r="O33" i="2"/>
  <c r="F34" i="2"/>
  <c r="G34" i="2"/>
  <c r="H34" i="2"/>
  <c r="I34" i="2"/>
  <c r="J34" i="2"/>
  <c r="K34" i="2"/>
  <c r="L34" i="2"/>
  <c r="M34" i="2"/>
  <c r="N34" i="2"/>
  <c r="O34" i="2"/>
  <c r="F35" i="2"/>
  <c r="G35" i="2"/>
  <c r="H35" i="2"/>
  <c r="I35" i="2"/>
  <c r="J35" i="2"/>
  <c r="K35" i="2"/>
  <c r="L35" i="2"/>
  <c r="M35" i="2"/>
  <c r="N35" i="2"/>
  <c r="O35" i="2"/>
  <c r="F36" i="2"/>
  <c r="G36" i="2"/>
  <c r="H36" i="2"/>
  <c r="I36" i="2"/>
  <c r="J36" i="2"/>
  <c r="K36" i="2"/>
  <c r="L36" i="2"/>
  <c r="M36" i="2"/>
  <c r="N36" i="2"/>
  <c r="O36" i="2"/>
  <c r="F37" i="2"/>
  <c r="G37" i="2"/>
  <c r="H37" i="2"/>
  <c r="I37" i="2"/>
  <c r="J37" i="2"/>
  <c r="K37" i="2"/>
  <c r="L37" i="2"/>
  <c r="M37" i="2"/>
  <c r="N37" i="2"/>
  <c r="O37" i="2"/>
  <c r="F38" i="2"/>
  <c r="G38" i="2"/>
  <c r="H38" i="2"/>
  <c r="I38" i="2"/>
  <c r="J38" i="2"/>
  <c r="K38" i="2"/>
  <c r="L38" i="2"/>
  <c r="M38" i="2"/>
  <c r="N38" i="2"/>
  <c r="O38" i="2"/>
  <c r="F39" i="2"/>
  <c r="G39" i="2"/>
  <c r="H39" i="2"/>
  <c r="I39" i="2"/>
  <c r="J39" i="2"/>
  <c r="K39" i="2"/>
  <c r="L39" i="2"/>
  <c r="M39" i="2"/>
  <c r="N39" i="2"/>
  <c r="O39" i="2"/>
  <c r="F40" i="2"/>
  <c r="G40" i="2"/>
  <c r="H40" i="2"/>
  <c r="I40" i="2"/>
  <c r="J40" i="2"/>
  <c r="K40" i="2"/>
  <c r="L40" i="2"/>
  <c r="M40" i="2"/>
  <c r="N40" i="2"/>
  <c r="O40" i="2"/>
  <c r="F41" i="2"/>
  <c r="G41" i="2"/>
  <c r="H41" i="2"/>
  <c r="I41" i="2"/>
  <c r="J41" i="2"/>
  <c r="K41" i="2"/>
  <c r="L41" i="2"/>
  <c r="M41" i="2"/>
  <c r="N41" i="2"/>
  <c r="O41" i="2"/>
  <c r="F42" i="2"/>
  <c r="G42" i="2"/>
  <c r="H42" i="2"/>
  <c r="I42" i="2"/>
  <c r="J42" i="2"/>
  <c r="K42" i="2"/>
  <c r="L42" i="2"/>
  <c r="M42" i="2"/>
  <c r="N42" i="2"/>
  <c r="O42" i="2"/>
  <c r="F43" i="2"/>
  <c r="G43" i="2"/>
  <c r="H43" i="2"/>
  <c r="I43" i="2"/>
  <c r="J43" i="2"/>
  <c r="K43" i="2"/>
  <c r="L43" i="2"/>
  <c r="M43" i="2"/>
  <c r="N43" i="2"/>
  <c r="O43" i="2"/>
  <c r="F44" i="2"/>
  <c r="G44" i="2"/>
  <c r="H44" i="2"/>
  <c r="I44" i="2"/>
  <c r="J44" i="2"/>
  <c r="K44" i="2"/>
  <c r="L44" i="2"/>
  <c r="M44" i="2"/>
  <c r="N44" i="2"/>
  <c r="O44" i="2"/>
  <c r="F45" i="2"/>
  <c r="G45" i="2"/>
  <c r="H45" i="2"/>
  <c r="I45" i="2"/>
  <c r="J45" i="2"/>
  <c r="K45" i="2"/>
  <c r="L45" i="2"/>
  <c r="M45" i="2"/>
  <c r="N45" i="2"/>
  <c r="O45" i="2"/>
  <c r="F46" i="2"/>
  <c r="G46" i="2"/>
  <c r="H46" i="2"/>
  <c r="I46" i="2"/>
  <c r="J46" i="2"/>
  <c r="K46" i="2"/>
  <c r="L46" i="2"/>
  <c r="M46" i="2"/>
  <c r="N46" i="2"/>
  <c r="O46" i="2"/>
  <c r="F47" i="2"/>
  <c r="G47" i="2"/>
  <c r="H47" i="2"/>
  <c r="I47" i="2"/>
  <c r="J47" i="2"/>
  <c r="K47" i="2"/>
  <c r="L47" i="2"/>
  <c r="M47" i="2"/>
  <c r="N47" i="2"/>
  <c r="O47" i="2"/>
  <c r="F48" i="2"/>
  <c r="G48" i="2"/>
  <c r="H48" i="2"/>
  <c r="I48" i="2"/>
  <c r="J48" i="2"/>
  <c r="K48" i="2"/>
  <c r="L48" i="2"/>
  <c r="M48" i="2"/>
  <c r="N48" i="2"/>
  <c r="O48" i="2"/>
  <c r="F49" i="2"/>
  <c r="G49" i="2"/>
  <c r="H49" i="2"/>
  <c r="I49" i="2"/>
  <c r="J49" i="2"/>
  <c r="K49" i="2"/>
  <c r="L49" i="2"/>
  <c r="M49" i="2"/>
  <c r="N49" i="2"/>
  <c r="O49" i="2"/>
  <c r="F50" i="2"/>
  <c r="G50" i="2"/>
  <c r="H50" i="2"/>
  <c r="I50" i="2"/>
  <c r="J50" i="2"/>
  <c r="K50" i="2"/>
  <c r="L50" i="2"/>
  <c r="M50" i="2"/>
  <c r="N50" i="2"/>
  <c r="O50" i="2"/>
  <c r="F51" i="2"/>
  <c r="G51" i="2"/>
  <c r="H51" i="2"/>
  <c r="I51" i="2"/>
  <c r="J51" i="2"/>
  <c r="K51" i="2"/>
  <c r="L51" i="2"/>
  <c r="M51" i="2"/>
  <c r="N51" i="2"/>
  <c r="O51" i="2"/>
  <c r="F52" i="2"/>
  <c r="G52" i="2"/>
  <c r="H52" i="2"/>
  <c r="I52" i="2"/>
  <c r="J52" i="2"/>
  <c r="K52" i="2"/>
  <c r="L52" i="2"/>
  <c r="M52" i="2"/>
  <c r="N52" i="2"/>
  <c r="O52" i="2"/>
  <c r="F53" i="2"/>
  <c r="G53" i="2"/>
  <c r="H53" i="2"/>
  <c r="I53" i="2"/>
  <c r="J53" i="2"/>
  <c r="K53" i="2"/>
  <c r="L53" i="2"/>
  <c r="M53" i="2"/>
  <c r="N53" i="2"/>
  <c r="O53" i="2"/>
  <c r="F54" i="2"/>
  <c r="G54" i="2"/>
  <c r="H54" i="2"/>
  <c r="I54" i="2"/>
  <c r="J54" i="2"/>
  <c r="K54" i="2"/>
  <c r="L54" i="2"/>
  <c r="M54" i="2"/>
  <c r="N54" i="2"/>
  <c r="O54" i="2"/>
  <c r="F55" i="2"/>
  <c r="G55" i="2"/>
  <c r="H55" i="2"/>
  <c r="I55" i="2"/>
  <c r="J55" i="2"/>
  <c r="K55" i="2"/>
  <c r="L55" i="2"/>
  <c r="M55" i="2"/>
  <c r="N55" i="2"/>
  <c r="O55" i="2"/>
  <c r="F56" i="2"/>
  <c r="G56" i="2"/>
  <c r="H56" i="2"/>
  <c r="I56" i="2"/>
  <c r="J56" i="2"/>
  <c r="K56" i="2"/>
  <c r="L56" i="2"/>
  <c r="M56" i="2"/>
  <c r="N56" i="2"/>
  <c r="O56" i="2"/>
  <c r="F57" i="2"/>
  <c r="G57" i="2"/>
  <c r="H57" i="2"/>
  <c r="I57" i="2"/>
  <c r="J57" i="2"/>
  <c r="K57" i="2"/>
  <c r="L57" i="2"/>
  <c r="M57" i="2"/>
  <c r="N57" i="2"/>
  <c r="O57" i="2"/>
  <c r="F58" i="2"/>
  <c r="G58" i="2"/>
  <c r="H58" i="2"/>
  <c r="I58" i="2"/>
  <c r="J58" i="2"/>
  <c r="K58" i="2"/>
  <c r="L58" i="2"/>
  <c r="M58" i="2"/>
  <c r="N58" i="2"/>
  <c r="O58" i="2"/>
  <c r="F59" i="2"/>
  <c r="G59" i="2"/>
  <c r="H59" i="2"/>
  <c r="I59" i="2"/>
  <c r="J59" i="2"/>
  <c r="K59" i="2"/>
  <c r="L59" i="2"/>
  <c r="M59" i="2"/>
  <c r="N59" i="2"/>
  <c r="O59" i="2"/>
  <c r="F60" i="2"/>
  <c r="G60" i="2"/>
  <c r="H60" i="2"/>
  <c r="I60" i="2"/>
  <c r="J60" i="2"/>
  <c r="K60" i="2"/>
  <c r="L60" i="2"/>
  <c r="M60" i="2"/>
  <c r="N60" i="2"/>
  <c r="O60" i="2"/>
  <c r="F61" i="2"/>
  <c r="G61" i="2"/>
  <c r="H61" i="2"/>
  <c r="I61" i="2"/>
  <c r="J61" i="2"/>
  <c r="K61" i="2"/>
  <c r="L61" i="2"/>
  <c r="M61" i="2"/>
  <c r="N61" i="2"/>
  <c r="O61" i="2"/>
  <c r="F62" i="2"/>
  <c r="G62" i="2"/>
  <c r="H62" i="2"/>
  <c r="I62" i="2"/>
  <c r="J62" i="2"/>
  <c r="K62" i="2"/>
  <c r="L62" i="2"/>
  <c r="M62" i="2"/>
  <c r="N62" i="2"/>
  <c r="O62" i="2"/>
  <c r="F63" i="2"/>
  <c r="G63" i="2"/>
  <c r="H63" i="2"/>
  <c r="I63" i="2"/>
  <c r="J63" i="2"/>
  <c r="K63" i="2"/>
  <c r="L63" i="2"/>
  <c r="M63" i="2"/>
  <c r="N63" i="2"/>
  <c r="O63" i="2"/>
  <c r="F64" i="2"/>
  <c r="G64" i="2"/>
  <c r="H64" i="2"/>
  <c r="I64" i="2"/>
  <c r="J64" i="2"/>
  <c r="K64" i="2"/>
  <c r="L64" i="2"/>
  <c r="M64" i="2"/>
  <c r="N64" i="2"/>
  <c r="O64" i="2"/>
  <c r="F65" i="2"/>
  <c r="G65" i="2"/>
  <c r="H65" i="2"/>
  <c r="I65" i="2"/>
  <c r="J65" i="2"/>
  <c r="K65" i="2"/>
  <c r="L65" i="2"/>
  <c r="M65" i="2"/>
  <c r="N65" i="2"/>
  <c r="O65" i="2"/>
  <c r="F66" i="2"/>
  <c r="G66" i="2"/>
  <c r="H66" i="2"/>
  <c r="I66" i="2"/>
  <c r="J66" i="2"/>
  <c r="K66" i="2"/>
  <c r="L66" i="2"/>
  <c r="M66" i="2"/>
  <c r="N66" i="2"/>
  <c r="O66" i="2"/>
  <c r="F67" i="2"/>
  <c r="G67" i="2"/>
  <c r="H67" i="2"/>
  <c r="I67" i="2"/>
  <c r="J67" i="2"/>
  <c r="K67" i="2"/>
  <c r="L67" i="2"/>
  <c r="M67" i="2"/>
  <c r="N67" i="2"/>
  <c r="O67" i="2"/>
  <c r="F68" i="2"/>
  <c r="G68" i="2"/>
  <c r="H68" i="2"/>
  <c r="I68" i="2"/>
  <c r="J68" i="2"/>
  <c r="K68" i="2"/>
  <c r="L68" i="2"/>
  <c r="M68" i="2"/>
  <c r="N68" i="2"/>
  <c r="O68" i="2"/>
  <c r="F69" i="2"/>
  <c r="G69" i="2"/>
  <c r="H69" i="2"/>
  <c r="I69" i="2"/>
  <c r="J69" i="2"/>
  <c r="K69" i="2"/>
  <c r="L69" i="2"/>
  <c r="M69" i="2"/>
  <c r="N69" i="2"/>
  <c r="O69" i="2"/>
  <c r="F70" i="2"/>
  <c r="G70" i="2"/>
  <c r="H70" i="2"/>
  <c r="I70" i="2"/>
  <c r="J70" i="2"/>
  <c r="K70" i="2"/>
  <c r="L70" i="2"/>
  <c r="M70" i="2"/>
  <c r="N70" i="2"/>
  <c r="O70" i="2"/>
  <c r="F71" i="2"/>
  <c r="G71" i="2"/>
  <c r="H71" i="2"/>
  <c r="I71" i="2"/>
  <c r="J71" i="2"/>
  <c r="K71" i="2"/>
  <c r="L71" i="2"/>
  <c r="M71" i="2"/>
  <c r="N71" i="2"/>
  <c r="O71" i="2"/>
  <c r="F72" i="2"/>
  <c r="G72" i="2"/>
  <c r="H72" i="2"/>
  <c r="I72" i="2"/>
  <c r="J72" i="2"/>
  <c r="K72" i="2"/>
  <c r="L72" i="2"/>
  <c r="M72" i="2"/>
  <c r="N72" i="2"/>
  <c r="O72" i="2"/>
  <c r="F73" i="2"/>
  <c r="G73" i="2"/>
  <c r="H73" i="2"/>
  <c r="I73" i="2"/>
  <c r="J73" i="2"/>
  <c r="K73" i="2"/>
  <c r="L73" i="2"/>
  <c r="M73" i="2"/>
  <c r="N73" i="2"/>
  <c r="O73" i="2"/>
  <c r="F74" i="2"/>
  <c r="G74" i="2"/>
  <c r="H74" i="2"/>
  <c r="I74" i="2"/>
  <c r="J74" i="2"/>
  <c r="K74" i="2"/>
  <c r="L74" i="2"/>
  <c r="M74" i="2"/>
  <c r="N74" i="2"/>
  <c r="O74" i="2"/>
  <c r="F75" i="2"/>
  <c r="G75" i="2"/>
  <c r="H75" i="2"/>
  <c r="I75" i="2"/>
  <c r="J75" i="2"/>
  <c r="K75" i="2"/>
  <c r="L75" i="2"/>
  <c r="M75" i="2"/>
  <c r="N75" i="2"/>
  <c r="O75" i="2"/>
  <c r="F76" i="2"/>
  <c r="G76" i="2"/>
  <c r="H76" i="2"/>
  <c r="I76" i="2"/>
  <c r="J76" i="2"/>
  <c r="K76" i="2"/>
  <c r="L76" i="2"/>
  <c r="M76" i="2"/>
  <c r="N76" i="2"/>
  <c r="O76" i="2"/>
  <c r="F77" i="2"/>
  <c r="G77" i="2"/>
  <c r="H77" i="2"/>
  <c r="I77" i="2"/>
  <c r="J77" i="2"/>
  <c r="K77" i="2"/>
  <c r="L77" i="2"/>
  <c r="M77" i="2"/>
  <c r="N77" i="2"/>
  <c r="O77" i="2"/>
  <c r="F78" i="2"/>
  <c r="G78" i="2"/>
  <c r="H78" i="2"/>
  <c r="I78" i="2"/>
  <c r="J78" i="2"/>
  <c r="K78" i="2"/>
  <c r="L78" i="2"/>
  <c r="M78" i="2"/>
  <c r="N78" i="2"/>
  <c r="O78" i="2"/>
  <c r="F79" i="2"/>
  <c r="G79" i="2"/>
  <c r="H79" i="2"/>
  <c r="I79" i="2"/>
  <c r="J79" i="2"/>
  <c r="K79" i="2"/>
  <c r="L79" i="2"/>
  <c r="M79" i="2"/>
  <c r="N79" i="2"/>
  <c r="O79" i="2"/>
  <c r="F80" i="2"/>
  <c r="G80" i="2"/>
  <c r="H80" i="2"/>
  <c r="I80" i="2"/>
  <c r="J80" i="2"/>
  <c r="K80" i="2"/>
  <c r="L80" i="2"/>
  <c r="M80" i="2"/>
  <c r="N80" i="2"/>
  <c r="O80" i="2"/>
  <c r="F81" i="2"/>
  <c r="G81" i="2"/>
  <c r="H81" i="2"/>
  <c r="I81" i="2"/>
  <c r="J81" i="2"/>
  <c r="K81" i="2"/>
  <c r="L81" i="2"/>
  <c r="M81" i="2"/>
  <c r="N81" i="2"/>
  <c r="O81" i="2"/>
  <c r="F82" i="2"/>
  <c r="G82" i="2"/>
  <c r="H82" i="2"/>
  <c r="I82" i="2"/>
  <c r="J82" i="2"/>
  <c r="K82" i="2"/>
  <c r="L82" i="2"/>
  <c r="M82" i="2"/>
  <c r="N82" i="2"/>
  <c r="O82" i="2"/>
  <c r="F83" i="2"/>
  <c r="G83" i="2"/>
  <c r="H83" i="2"/>
  <c r="I83" i="2"/>
  <c r="J83" i="2"/>
  <c r="K83" i="2"/>
  <c r="L83" i="2"/>
  <c r="M83" i="2"/>
  <c r="N83" i="2"/>
  <c r="O83" i="2"/>
  <c r="F84" i="2"/>
  <c r="G84" i="2"/>
  <c r="H84" i="2"/>
  <c r="I84" i="2"/>
  <c r="J84" i="2"/>
  <c r="K84" i="2"/>
  <c r="L84" i="2"/>
  <c r="M84" i="2"/>
  <c r="N84" i="2"/>
  <c r="O84" i="2"/>
  <c r="F85" i="2"/>
  <c r="G85" i="2"/>
  <c r="H85" i="2"/>
  <c r="I85" i="2"/>
  <c r="J85" i="2"/>
  <c r="K85" i="2"/>
  <c r="L85" i="2"/>
  <c r="M85" i="2"/>
  <c r="N85" i="2"/>
  <c r="O85" i="2"/>
  <c r="F86" i="2"/>
  <c r="G86" i="2"/>
  <c r="H86" i="2"/>
  <c r="I86" i="2"/>
  <c r="J86" i="2"/>
  <c r="K86" i="2"/>
  <c r="L86" i="2"/>
  <c r="M86" i="2"/>
  <c r="N86" i="2"/>
  <c r="O86" i="2"/>
  <c r="F87" i="2"/>
  <c r="G87" i="2"/>
  <c r="H87" i="2"/>
  <c r="I87" i="2"/>
  <c r="J87" i="2"/>
  <c r="K87" i="2"/>
  <c r="L87" i="2"/>
  <c r="M87" i="2"/>
  <c r="N87" i="2"/>
  <c r="O87" i="2"/>
  <c r="F88" i="2"/>
  <c r="G88" i="2"/>
  <c r="H88" i="2"/>
  <c r="I88" i="2"/>
  <c r="J88" i="2"/>
  <c r="K88" i="2"/>
  <c r="L88" i="2"/>
  <c r="M88" i="2"/>
  <c r="N88" i="2"/>
  <c r="O88" i="2"/>
  <c r="F89" i="2"/>
  <c r="G89" i="2"/>
  <c r="H89" i="2"/>
  <c r="I89" i="2"/>
  <c r="J89" i="2"/>
  <c r="K89" i="2"/>
  <c r="L89" i="2"/>
  <c r="M89" i="2"/>
  <c r="N89" i="2"/>
  <c r="O89" i="2"/>
  <c r="F90" i="2"/>
  <c r="G90" i="2"/>
  <c r="H90" i="2"/>
  <c r="I90" i="2"/>
  <c r="J90" i="2"/>
  <c r="K90" i="2"/>
  <c r="L90" i="2"/>
  <c r="M90" i="2"/>
  <c r="N90" i="2"/>
  <c r="O90" i="2"/>
  <c r="O2" i="2"/>
  <c r="N2" i="2"/>
  <c r="M2" i="2"/>
  <c r="L2" i="2"/>
  <c r="K2" i="2"/>
  <c r="J2" i="2"/>
  <c r="I2" i="2"/>
  <c r="H2" i="2"/>
  <c r="G2" i="2"/>
  <c r="F2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2" i="2"/>
  <c r="B9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2" i="2"/>
  <c r="B1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2" i="2"/>
  <c r="AE104" i="1"/>
  <c r="AF104" i="1" s="1"/>
  <c r="X104" i="1"/>
  <c r="AE103" i="1"/>
  <c r="AF103" i="1" s="1"/>
  <c r="X103" i="1"/>
  <c r="AL102" i="1"/>
  <c r="AK102" i="1"/>
  <c r="AE102" i="1"/>
  <c r="AF102" i="1" s="1"/>
  <c r="X102" i="1"/>
  <c r="AE101" i="1"/>
  <c r="AF101" i="1" s="1"/>
  <c r="X101" i="1"/>
  <c r="AE100" i="1"/>
  <c r="AF100" i="1" s="1"/>
  <c r="X100" i="1"/>
  <c r="AE99" i="1"/>
  <c r="AF99" i="1" s="1"/>
  <c r="X99" i="1"/>
  <c r="AF98" i="1"/>
  <c r="X98" i="1"/>
  <c r="AF97" i="1"/>
  <c r="X97" i="1"/>
  <c r="AE96" i="1"/>
  <c r="AF96" i="1" s="1"/>
  <c r="X96" i="1"/>
  <c r="X95" i="1"/>
  <c r="AF94" i="1"/>
  <c r="AE94" i="1"/>
  <c r="X94" i="1"/>
  <c r="AE93" i="1"/>
  <c r="AF93" i="1" s="1"/>
  <c r="X93" i="1"/>
  <c r="AE92" i="1"/>
  <c r="AF92" i="1" s="1"/>
  <c r="X92" i="1"/>
  <c r="AF91" i="1"/>
  <c r="X91" i="1"/>
  <c r="AE90" i="1"/>
  <c r="AF90" i="1" s="1"/>
  <c r="X90" i="1"/>
  <c r="AF89" i="1"/>
  <c r="X89" i="1"/>
  <c r="X88" i="1"/>
  <c r="X87" i="1"/>
  <c r="X86" i="1"/>
  <c r="AE85" i="1"/>
  <c r="AF85" i="1" s="1"/>
  <c r="X85" i="1"/>
  <c r="AE84" i="1"/>
  <c r="AF84" i="1" s="1"/>
  <c r="X84" i="1"/>
  <c r="AF83" i="1"/>
  <c r="AE83" i="1"/>
  <c r="X83" i="1"/>
  <c r="AF82" i="1"/>
  <c r="AE82" i="1"/>
  <c r="X82" i="1"/>
  <c r="AE81" i="1"/>
  <c r="AF81" i="1" s="1"/>
  <c r="X81" i="1"/>
  <c r="AE80" i="1"/>
  <c r="AF80" i="1" s="1"/>
  <c r="X80" i="1"/>
  <c r="X79" i="1"/>
  <c r="X78" i="1"/>
  <c r="AE77" i="1"/>
  <c r="AF77" i="1" s="1"/>
  <c r="X77" i="1"/>
  <c r="AE76" i="1"/>
  <c r="AF76" i="1" s="1"/>
  <c r="X76" i="1"/>
  <c r="AF75" i="1"/>
  <c r="X75" i="1"/>
  <c r="AE74" i="1"/>
  <c r="AF74" i="1" s="1"/>
  <c r="X74" i="1"/>
  <c r="X73" i="1"/>
  <c r="AE72" i="1"/>
  <c r="AF72" i="1" s="1"/>
  <c r="X72" i="1"/>
  <c r="AE71" i="1"/>
  <c r="AF71" i="1" s="1"/>
  <c r="X71" i="1"/>
  <c r="AF70" i="1"/>
  <c r="AE70" i="1"/>
  <c r="X70" i="1"/>
  <c r="AE69" i="1"/>
  <c r="AF69" i="1" s="1"/>
  <c r="X69" i="1"/>
  <c r="AE68" i="1"/>
  <c r="AF68" i="1" s="1"/>
  <c r="X68" i="1"/>
  <c r="AE67" i="1"/>
  <c r="AF67" i="1" s="1"/>
  <c r="X67" i="1"/>
  <c r="AF66" i="1"/>
  <c r="AE66" i="1"/>
  <c r="X66" i="1"/>
  <c r="AE65" i="1"/>
  <c r="AF65" i="1" s="1"/>
  <c r="X65" i="1"/>
  <c r="AE64" i="1"/>
  <c r="AF64" i="1" s="1"/>
  <c r="X64" i="1"/>
  <c r="AE63" i="1"/>
  <c r="AF63" i="1" s="1"/>
  <c r="X63" i="1"/>
  <c r="AF62" i="1"/>
  <c r="AE62" i="1"/>
  <c r="X62" i="1"/>
  <c r="AE61" i="1"/>
  <c r="AF61" i="1" s="1"/>
  <c r="X61" i="1"/>
  <c r="AE60" i="1"/>
  <c r="AF60" i="1" s="1"/>
  <c r="X60" i="1"/>
  <c r="AE59" i="1"/>
  <c r="AF59" i="1" s="1"/>
  <c r="X59" i="1"/>
  <c r="AF58" i="1"/>
  <c r="AE58" i="1"/>
  <c r="X58" i="1"/>
  <c r="AF57" i="1"/>
  <c r="AE57" i="1"/>
  <c r="X57" i="1"/>
  <c r="AF56" i="1"/>
  <c r="AE56" i="1"/>
  <c r="X56" i="1"/>
  <c r="AE55" i="1"/>
  <c r="AF55" i="1" s="1"/>
  <c r="X55" i="1"/>
  <c r="AE54" i="1"/>
  <c r="AF54" i="1" s="1"/>
  <c r="X54" i="1"/>
  <c r="AF52" i="1"/>
  <c r="AE52" i="1"/>
  <c r="AF51" i="1"/>
  <c r="AE51" i="1"/>
  <c r="AF50" i="1"/>
  <c r="AE50" i="1"/>
  <c r="AF48" i="1"/>
  <c r="AE48" i="1"/>
  <c r="AE47" i="1"/>
  <c r="AF47" i="1" s="1"/>
  <c r="AF46" i="1"/>
  <c r="AE46" i="1"/>
  <c r="AF45" i="1"/>
  <c r="AE45" i="1"/>
  <c r="AF44" i="1"/>
  <c r="AE44" i="1"/>
  <c r="X43" i="1"/>
  <c r="AF42" i="1"/>
  <c r="AE42" i="1"/>
  <c r="X42" i="1"/>
  <c r="AE41" i="1"/>
  <c r="AF41" i="1" s="1"/>
  <c r="X41" i="1"/>
  <c r="AF40" i="1"/>
  <c r="AE40" i="1"/>
  <c r="X40" i="1"/>
  <c r="AE39" i="1"/>
  <c r="AF39" i="1" s="1"/>
  <c r="X39" i="1"/>
  <c r="AE38" i="1"/>
  <c r="AF38" i="1" s="1"/>
  <c r="X38" i="1"/>
  <c r="AE37" i="1"/>
  <c r="AF37" i="1" s="1"/>
  <c r="X37" i="1"/>
  <c r="AE36" i="1"/>
  <c r="AF36" i="1" s="1"/>
  <c r="X36" i="1"/>
  <c r="AF35" i="1"/>
  <c r="AE35" i="1"/>
  <c r="AE34" i="1"/>
  <c r="AF34" i="1" s="1"/>
  <c r="X34" i="1"/>
  <c r="AE33" i="1"/>
  <c r="AF33" i="1" s="1"/>
  <c r="X33" i="1"/>
  <c r="AE32" i="1"/>
  <c r="AF32" i="1" s="1"/>
  <c r="X32" i="1"/>
  <c r="AE31" i="1"/>
  <c r="AF31" i="1" s="1"/>
  <c r="X31" i="1"/>
  <c r="AE30" i="1"/>
  <c r="AF30" i="1" s="1"/>
  <c r="X30" i="1"/>
  <c r="AE29" i="1"/>
  <c r="AF29" i="1" s="1"/>
  <c r="X29" i="1"/>
  <c r="AF28" i="1"/>
  <c r="AE28" i="1"/>
  <c r="X28" i="1"/>
  <c r="AE27" i="1"/>
  <c r="AF27" i="1" s="1"/>
  <c r="X27" i="1"/>
  <c r="AE26" i="1"/>
  <c r="AF26" i="1" s="1"/>
  <c r="X26" i="1"/>
  <c r="AE25" i="1"/>
  <c r="AF25" i="1" s="1"/>
  <c r="X25" i="1"/>
  <c r="AE24" i="1"/>
  <c r="AF24" i="1" s="1"/>
  <c r="X24" i="1"/>
  <c r="AE23" i="1"/>
  <c r="AF23" i="1" s="1"/>
  <c r="X23" i="1"/>
  <c r="AE22" i="1"/>
  <c r="AF22" i="1" s="1"/>
  <c r="X22" i="1"/>
  <c r="AE21" i="1"/>
  <c r="AF21" i="1" s="1"/>
  <c r="X21" i="1"/>
  <c r="AE20" i="1"/>
  <c r="AF20" i="1" s="1"/>
  <c r="X20" i="1"/>
  <c r="AE19" i="1"/>
  <c r="AF19" i="1" s="1"/>
  <c r="X19" i="1"/>
  <c r="AE18" i="1"/>
  <c r="AF18" i="1" s="1"/>
  <c r="X18" i="1"/>
  <c r="AE17" i="1"/>
  <c r="AF17" i="1" s="1"/>
  <c r="X17" i="1"/>
  <c r="AE16" i="1"/>
  <c r="AF16" i="1" s="1"/>
  <c r="X16" i="1"/>
  <c r="AE15" i="1"/>
  <c r="AF15" i="1" s="1"/>
  <c r="X15" i="1"/>
  <c r="AE14" i="1"/>
  <c r="AF14" i="1" s="1"/>
  <c r="X14" i="1"/>
  <c r="AE13" i="1"/>
  <c r="AF13" i="1" s="1"/>
  <c r="X13" i="1"/>
  <c r="AE12" i="1"/>
  <c r="AF12" i="1" s="1"/>
  <c r="X12" i="1"/>
  <c r="AE11" i="1"/>
  <c r="AF11" i="1" s="1"/>
  <c r="X11" i="1"/>
  <c r="AE10" i="1"/>
  <c r="AF10" i="1" s="1"/>
  <c r="X10" i="1"/>
  <c r="AE9" i="1"/>
  <c r="AF9" i="1" s="1"/>
  <c r="X9" i="1"/>
  <c r="AE8" i="1"/>
  <c r="AF8" i="1" s="1"/>
  <c r="X8" i="1"/>
  <c r="AB6" i="1"/>
  <c r="AC6" i="1" s="1"/>
  <c r="AD6" i="1" s="1"/>
  <c r="Z6" i="1"/>
  <c r="AA6" i="1" s="1"/>
  <c r="Y6" i="1"/>
  <c r="V6" i="1"/>
  <c r="W6" i="1" s="1"/>
  <c r="U6" i="1"/>
  <c r="R6" i="1"/>
  <c r="S6" i="1" s="1"/>
  <c r="T6" i="1" s="1"/>
  <c r="O6" i="1"/>
  <c r="P6" i="1" s="1"/>
  <c r="Q6" i="1" s="1"/>
  <c r="M6" i="1"/>
  <c r="N6" i="1" s="1"/>
  <c r="L6" i="1"/>
  <c r="J6" i="1"/>
  <c r="K6" i="1" s="1"/>
  <c r="I6" i="1"/>
  <c r="F6" i="1"/>
  <c r="G6" i="1" s="1"/>
  <c r="H6" i="1" s="1"/>
  <c r="X5" i="1"/>
  <c r="AE5" i="1" s="1"/>
  <c r="AF5" i="1" s="1"/>
  <c r="C3" i="1" a="1"/>
  <c r="C3" i="1" s="1"/>
  <c r="G35" i="1" l="1"/>
  <c r="I35" i="1"/>
  <c r="J35" i="1"/>
  <c r="X35" i="1"/>
  <c r="X1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<sst xmlns="http://schemas.openxmlformats.org/spreadsheetml/2006/main" count="647" uniqueCount="183">
  <si>
    <t>ENTRY HUB FROM ANALYSTS</t>
  </si>
  <si>
    <t>A/c mình không filter bảng này để tránh Copy/Paste nhầm dữ liệu bạn khác</t>
  </si>
  <si>
    <t>Chọn ngôn ngữ</t>
  </si>
  <si>
    <t>Tiếng Việt</t>
  </si>
  <si>
    <t>Update time:</t>
  </si>
  <si>
    <t xml:space="preserve">Revenue </t>
  </si>
  <si>
    <t>NPATMI</t>
  </si>
  <si>
    <t>EPS</t>
  </si>
  <si>
    <t>BVPS</t>
  </si>
  <si>
    <t>ROA</t>
  </si>
  <si>
    <t>ROE</t>
  </si>
  <si>
    <t>EBITDA</t>
  </si>
  <si>
    <t>NET DEBT</t>
  </si>
  <si>
    <t>Analyst</t>
  </si>
  <si>
    <t>Ticker</t>
  </si>
  <si>
    <t>Rating</t>
  </si>
  <si>
    <t>Target Price</t>
  </si>
  <si>
    <t>Forecast Y/N</t>
  </si>
  <si>
    <t>Giá hiện tại</t>
  </si>
  <si>
    <t>%</t>
  </si>
  <si>
    <t>REV_FY</t>
  </si>
  <si>
    <t>REV_FY+1</t>
  </si>
  <si>
    <t>REV_FY+2</t>
  </si>
  <si>
    <t>NPATMI_FY</t>
  </si>
  <si>
    <t>NPATMI_FY+1</t>
  </si>
  <si>
    <t>NPATMI_FY+2</t>
  </si>
  <si>
    <t>EPS_FY</t>
  </si>
  <si>
    <t>EPS_FY+1</t>
  </si>
  <si>
    <t>EPS_FY+2</t>
  </si>
  <si>
    <t>BVPS_FY</t>
  </si>
  <si>
    <t>BVPS_FY+1</t>
  </si>
  <si>
    <t>BVPS_FY+2</t>
  </si>
  <si>
    <t>ROA_FY</t>
  </si>
  <si>
    <t>ROA_FY+1</t>
  </si>
  <si>
    <t>ROA_FY+2</t>
  </si>
  <si>
    <t>ROE_FY</t>
  </si>
  <si>
    <t>ROE_FY+1</t>
  </si>
  <si>
    <t>ROE_FY+2</t>
  </si>
  <si>
    <t>EBITDA_FY</t>
  </si>
  <si>
    <t>EBITDA_FY+1</t>
  </si>
  <si>
    <t>EBITDA_FY+2</t>
  </si>
  <si>
    <t>NDEBT_FY</t>
  </si>
  <si>
    <t>NDEBT_FY+1</t>
  </si>
  <si>
    <t>NDEBT_FY+2</t>
  </si>
  <si>
    <t>PRCIE_CURRENT</t>
  </si>
  <si>
    <t>Upside</t>
  </si>
  <si>
    <t>Đoàn Minh Trí</t>
  </si>
  <si>
    <t>BID</t>
  </si>
  <si>
    <t>BUY</t>
  </si>
  <si>
    <t>ACB</t>
  </si>
  <si>
    <t>CTG</t>
  </si>
  <si>
    <t>VCB</t>
  </si>
  <si>
    <t>MBB</t>
  </si>
  <si>
    <t>HDB</t>
  </si>
  <si>
    <t>TCB</t>
  </si>
  <si>
    <t>LPB</t>
  </si>
  <si>
    <t>VPB</t>
  </si>
  <si>
    <t>STB</t>
  </si>
  <si>
    <t>Dương Quang Minh</t>
  </si>
  <si>
    <t>MSB</t>
  </si>
  <si>
    <t>HOLD</t>
  </si>
  <si>
    <t>TPB</t>
  </si>
  <si>
    <t>VIB</t>
  </si>
  <si>
    <t>EIB</t>
  </si>
  <si>
    <t>BSR</t>
  </si>
  <si>
    <t>NAB</t>
  </si>
  <si>
    <t>OCB</t>
  </si>
  <si>
    <t>SHB</t>
  </si>
  <si>
    <t>SSI</t>
  </si>
  <si>
    <t>HCM</t>
  </si>
  <si>
    <t>VCI</t>
  </si>
  <si>
    <t>Lâm Việt</t>
  </si>
  <si>
    <t>DXG</t>
  </si>
  <si>
    <t>GEX</t>
  </si>
  <si>
    <t>IJC</t>
  </si>
  <si>
    <t>NA</t>
  </si>
  <si>
    <t>OIL</t>
  </si>
  <si>
    <t>KDH</t>
  </si>
  <si>
    <t>PLC</t>
  </si>
  <si>
    <t>NLG</t>
  </si>
  <si>
    <t>PLX</t>
  </si>
  <si>
    <t>PDR</t>
  </si>
  <si>
    <t>PVD</t>
  </si>
  <si>
    <t>VHM</t>
  </si>
  <si>
    <t>PVS</t>
  </si>
  <si>
    <t>VRE</t>
  </si>
  <si>
    <t>DPG</t>
  </si>
  <si>
    <t>GAS</t>
  </si>
  <si>
    <t>GVR</t>
  </si>
  <si>
    <t>IDC</t>
  </si>
  <si>
    <t>LHG</t>
  </si>
  <si>
    <t>NVL</t>
  </si>
  <si>
    <t>PHR</t>
  </si>
  <si>
    <t>SZC</t>
  </si>
  <si>
    <t>SIP</t>
  </si>
  <si>
    <t>DPR</t>
  </si>
  <si>
    <t>NTC</t>
  </si>
  <si>
    <t>Nguyễn Thị Cẩm Tú</t>
  </si>
  <si>
    <t>KBC</t>
  </si>
  <si>
    <t>N</t>
  </si>
  <si>
    <t>DCM</t>
  </si>
  <si>
    <t>DGC</t>
  </si>
  <si>
    <t>Lưu Thuỳ Linh</t>
  </si>
  <si>
    <t>DPM</t>
  </si>
  <si>
    <t>Y</t>
  </si>
  <si>
    <t>DRC</t>
  </si>
  <si>
    <t>CSV</t>
  </si>
  <si>
    <t>QTP</t>
  </si>
  <si>
    <t>BWE</t>
  </si>
  <si>
    <t>DDV</t>
  </si>
  <si>
    <t>DHC</t>
  </si>
  <si>
    <t>NT2</t>
  </si>
  <si>
    <t>CSM</t>
  </si>
  <si>
    <t>FRT</t>
  </si>
  <si>
    <t>MSN</t>
  </si>
  <si>
    <t>n/a</t>
  </si>
  <si>
    <t>QNS</t>
  </si>
  <si>
    <t>PC1</t>
  </si>
  <si>
    <t>SAB</t>
  </si>
  <si>
    <t>POW</t>
  </si>
  <si>
    <t>VSC</t>
  </si>
  <si>
    <t>TDM</t>
  </si>
  <si>
    <t>Nguyễn Dân Trưởng</t>
  </si>
  <si>
    <t>VEA</t>
  </si>
  <si>
    <t>BMP</t>
  </si>
  <si>
    <t>HDG</t>
  </si>
  <si>
    <t>HSG</t>
  </si>
  <si>
    <t>HT1</t>
  </si>
  <si>
    <t>NKG</t>
  </si>
  <si>
    <t>BCC</t>
  </si>
  <si>
    <t>REE</t>
  </si>
  <si>
    <t>VGC</t>
  </si>
  <si>
    <t>DBC</t>
  </si>
  <si>
    <t>DGW</t>
  </si>
  <si>
    <t>MWG</t>
  </si>
  <si>
    <t>PNJ</t>
  </si>
  <si>
    <t>PVB</t>
  </si>
  <si>
    <t>VTP</t>
  </si>
  <si>
    <t>Phạm Quang Minh</t>
  </si>
  <si>
    <t>HPG</t>
  </si>
  <si>
    <t>PVT</t>
  </si>
  <si>
    <t>NTP</t>
  </si>
  <si>
    <t>CTD</t>
  </si>
  <si>
    <t>SCS</t>
  </si>
  <si>
    <t>Phạm Thị Minh Châu</t>
  </si>
  <si>
    <t>BAF</t>
  </si>
  <si>
    <t>VNM</t>
  </si>
  <si>
    <t>HVN</t>
  </si>
  <si>
    <t>VJC</t>
  </si>
  <si>
    <t>ELC</t>
  </si>
  <si>
    <t>FPT</t>
  </si>
  <si>
    <t>MSH</t>
  </si>
  <si>
    <t>TNG</t>
  </si>
  <si>
    <t>Trần Lâm Tùng</t>
  </si>
  <si>
    <t>HAH</t>
  </si>
  <si>
    <t>VHC</t>
  </si>
  <si>
    <t>ANV</t>
  </si>
  <si>
    <t>CTR</t>
  </si>
  <si>
    <t>C4G</t>
  </si>
  <si>
    <t>Trần Nguyên Tường Huy</t>
  </si>
  <si>
    <t>FCN</t>
  </si>
  <si>
    <t>LCG</t>
  </si>
  <si>
    <t>PTB</t>
  </si>
  <si>
    <t>GMD</t>
  </si>
  <si>
    <t>Vũ Công Hoàng Duy</t>
  </si>
  <si>
    <t>HHV</t>
  </si>
  <si>
    <t>cảng</t>
  </si>
  <si>
    <t>VCG</t>
  </si>
  <si>
    <t>TCH</t>
  </si>
  <si>
    <t>ticker</t>
  </si>
  <si>
    <t>target_price</t>
  </si>
  <si>
    <t>2025_npat</t>
  </si>
  <si>
    <t>2026_rev</t>
  </si>
  <si>
    <t>2025_rev</t>
  </si>
  <si>
    <t>2026_npat</t>
  </si>
  <si>
    <t>2025_eps</t>
  </si>
  <si>
    <t>2026_eps</t>
  </si>
  <si>
    <t>2025_bv</t>
  </si>
  <si>
    <t>2026_bv</t>
  </si>
  <si>
    <t>2025_roe</t>
  </si>
  <si>
    <t>2026_roe</t>
  </si>
  <si>
    <t>2025_roa</t>
  </si>
  <si>
    <t>2026_roa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</si>
</sst>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FY: &quot;0"/>
    <numFmt numFmtId="166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 tint="0.249977111117893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4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295CA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0" tint="-4.9989318521683403E-2"/>
      </right>
      <top style="thin">
        <color theme="0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theme="0"/>
      </right>
      <top style="thin">
        <color theme="0"/>
      </top>
      <bottom style="hair">
        <color theme="0" tint="-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theme="0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theme="0"/>
      </bottom>
      <diagonal/>
    </border>
    <border>
      <left style="hair">
        <color theme="0" tint="-4.9989318521683403E-2"/>
      </left>
      <right style="thin">
        <color theme="0"/>
      </right>
      <top style="hair">
        <color theme="0" tint="-4.9989318521683403E-2"/>
      </top>
      <bottom style="thin">
        <color theme="0"/>
      </bottom>
      <diagonal/>
    </border>
    <border>
      <left style="hair">
        <color theme="0" tint="-4.9989318521683403E-2"/>
      </left>
      <right style="thin">
        <color theme="0"/>
      </right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quotePrefix="1" applyFont="1"/>
    <xf numFmtId="0" fontId="2" fillId="0" borderId="0" xfId="0" applyFont="1" applyAlignment="1">
      <alignment horizontal="center"/>
    </xf>
    <xf numFmtId="164" fontId="2" fillId="0" borderId="0" xfId="1" applyNumberFormat="1" applyFont="1"/>
    <xf numFmtId="9" fontId="2" fillId="0" borderId="0" xfId="0" applyNumberFormat="1" applyFont="1"/>
    <xf numFmtId="165" fontId="7" fillId="0" borderId="0" xfId="0" applyNumberFormat="1" applyFont="1" applyAlignment="1">
      <alignment horizontal="left" vertical="center"/>
    </xf>
    <xf numFmtId="14" fontId="8" fillId="0" borderId="0" xfId="0" applyNumberFormat="1" applyFont="1"/>
    <xf numFmtId="0" fontId="9" fillId="2" borderId="0" xfId="0" applyFont="1" applyFill="1" applyAlignment="1">
      <alignment vertical="center" readingOrder="1"/>
    </xf>
    <xf numFmtId="164" fontId="9" fillId="2" borderId="0" xfId="1" applyNumberFormat="1" applyFont="1" applyFill="1" applyAlignment="1" applyProtection="1">
      <alignment vertical="center"/>
    </xf>
    <xf numFmtId="3" fontId="9" fillId="2" borderId="1" xfId="0" applyNumberFormat="1" applyFont="1" applyFill="1" applyBorder="1" applyAlignment="1">
      <alignment horizontal="centerContinuous" vertical="center" readingOrder="1"/>
    </xf>
    <xf numFmtId="3" fontId="10" fillId="2" borderId="2" xfId="0" applyNumberFormat="1" applyFont="1" applyFill="1" applyBorder="1" applyAlignment="1">
      <alignment horizontal="centerContinuous" vertical="center" readingOrder="1"/>
    </xf>
    <xf numFmtId="3" fontId="10" fillId="2" borderId="1" xfId="0" applyNumberFormat="1" applyFont="1" applyFill="1" applyBorder="1" applyAlignment="1">
      <alignment horizontal="centerContinuous" vertical="center" readingOrder="1"/>
    </xf>
    <xf numFmtId="3" fontId="10" fillId="2" borderId="1" xfId="0" applyNumberFormat="1" applyFont="1" applyFill="1" applyBorder="1" applyAlignment="1">
      <alignment horizontal="center" vertical="center" readingOrder="1"/>
    </xf>
    <xf numFmtId="3" fontId="10" fillId="0" borderId="1" xfId="0" applyNumberFormat="1" applyFont="1" applyBorder="1" applyAlignment="1">
      <alignment horizontal="center" vertical="center" readingOrder="1"/>
    </xf>
    <xf numFmtId="0" fontId="5" fillId="2" borderId="0" xfId="0" applyFont="1" applyFill="1"/>
    <xf numFmtId="0" fontId="9" fillId="2" borderId="0" xfId="1" applyNumberFormat="1" applyFont="1" applyFill="1" applyAlignment="1" applyProtection="1">
      <alignment vertical="center"/>
    </xf>
    <xf numFmtId="0" fontId="9" fillId="2" borderId="3" xfId="0" applyFont="1" applyFill="1" applyBorder="1" applyAlignment="1">
      <alignment vertical="center" readingOrder="1"/>
    </xf>
    <xf numFmtId="0" fontId="11" fillId="3" borderId="0" xfId="0" applyFont="1" applyFill="1" applyAlignment="1">
      <alignment horizontal="right" vertical="center" readingOrder="1"/>
    </xf>
    <xf numFmtId="0" fontId="11" fillId="3" borderId="4" xfId="0" applyFont="1" applyFill="1" applyBorder="1" applyAlignment="1">
      <alignment horizontal="right" vertical="center" readingOrder="1"/>
    </xf>
    <xf numFmtId="0" fontId="11" fillId="3" borderId="0" xfId="0" applyFont="1" applyFill="1" applyAlignment="1">
      <alignment horizontal="right"/>
    </xf>
    <xf numFmtId="0" fontId="6" fillId="2" borderId="0" xfId="0" applyFont="1" applyFill="1"/>
    <xf numFmtId="0" fontId="6" fillId="0" borderId="0" xfId="0" applyFont="1"/>
    <xf numFmtId="0" fontId="9" fillId="2" borderId="0" xfId="0" applyFont="1" applyFill="1" applyAlignment="1">
      <alignment horizontal="center" vertical="center" readingOrder="1"/>
    </xf>
    <xf numFmtId="0" fontId="12" fillId="0" borderId="5" xfId="0" applyFont="1" applyBorder="1"/>
    <xf numFmtId="3" fontId="13" fillId="0" borderId="6" xfId="0" applyNumberFormat="1" applyFont="1" applyBorder="1" applyAlignment="1">
      <alignment horizontal="right"/>
    </xf>
    <xf numFmtId="9" fontId="13" fillId="0" borderId="6" xfId="0" applyNumberFormat="1" applyFont="1" applyBorder="1" applyAlignment="1">
      <alignment horizontal="right"/>
    </xf>
    <xf numFmtId="0" fontId="12" fillId="0" borderId="7" xfId="0" applyFont="1" applyBorder="1"/>
    <xf numFmtId="0" fontId="2" fillId="0" borderId="0" xfId="0" applyFont="1" applyProtection="1">
      <protection locked="0"/>
    </xf>
    <xf numFmtId="0" fontId="14" fillId="4" borderId="8" xfId="0" applyFont="1" applyFill="1" applyBorder="1" applyProtection="1">
      <protection locked="0"/>
    </xf>
    <xf numFmtId="0" fontId="14" fillId="4" borderId="9" xfId="0" applyFont="1" applyFill="1" applyBorder="1" applyAlignment="1" applyProtection="1">
      <alignment horizontal="left" vertical="center"/>
      <protection locked="0"/>
    </xf>
    <xf numFmtId="0" fontId="14" fillId="4" borderId="9" xfId="0" applyFont="1" applyFill="1" applyBorder="1" applyProtection="1">
      <protection locked="0"/>
    </xf>
    <xf numFmtId="164" fontId="14" fillId="4" borderId="9" xfId="1" applyNumberFormat="1" applyFont="1" applyFill="1" applyBorder="1" applyAlignment="1" applyProtection="1">
      <alignment horizontal="right" vertical="center" wrapText="1" readingOrder="1"/>
      <protection locked="0"/>
    </xf>
    <xf numFmtId="166" fontId="14" fillId="4" borderId="9" xfId="3" applyNumberFormat="1" applyFont="1" applyFill="1" applyBorder="1" applyAlignment="1" applyProtection="1">
      <alignment horizontal="right" vertical="center" wrapText="1" readingOrder="1"/>
      <protection locked="0"/>
    </xf>
    <xf numFmtId="1" fontId="14" fillId="4" borderId="9" xfId="0" applyNumberFormat="1" applyFont="1" applyFill="1" applyBorder="1" applyAlignment="1" applyProtection="1">
      <alignment horizontal="center"/>
      <protection locked="0"/>
    </xf>
    <xf numFmtId="3" fontId="14" fillId="4" borderId="9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10" xfId="1" applyNumberFormat="1" applyFont="1" applyFill="1" applyBorder="1" applyAlignment="1" applyProtection="1">
      <alignment horizontal="right"/>
      <protection locked="0"/>
    </xf>
    <xf numFmtId="9" fontId="14" fillId="0" borderId="11" xfId="0" applyNumberFormat="1" applyFont="1" applyBorder="1" applyProtection="1">
      <protection locked="0"/>
    </xf>
    <xf numFmtId="0" fontId="14" fillId="4" borderId="12" xfId="0" applyFont="1" applyFill="1" applyBorder="1" applyProtection="1">
      <protection locked="0"/>
    </xf>
    <xf numFmtId="0" fontId="14" fillId="4" borderId="13" xfId="0" applyFont="1" applyFill="1" applyBorder="1" applyAlignment="1" applyProtection="1">
      <alignment horizontal="left" vertical="center"/>
      <protection locked="0"/>
    </xf>
    <xf numFmtId="0" fontId="14" fillId="4" borderId="13" xfId="0" applyFont="1" applyFill="1" applyBorder="1" applyProtection="1">
      <protection locked="0"/>
    </xf>
    <xf numFmtId="3" fontId="14" fillId="4" borderId="13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4" borderId="13" xfId="1" applyNumberFormat="1" applyFont="1" applyFill="1" applyBorder="1" applyAlignment="1" applyProtection="1">
      <alignment horizontal="right" vertical="center" wrapText="1" readingOrder="1"/>
      <protection locked="0"/>
    </xf>
    <xf numFmtId="166" fontId="14" fillId="4" borderId="13" xfId="3" applyNumberFormat="1" applyFont="1" applyFill="1" applyBorder="1" applyAlignment="1" applyProtection="1">
      <alignment horizontal="right" vertical="center" wrapText="1" readingOrder="1"/>
      <protection locked="0"/>
    </xf>
    <xf numFmtId="164" fontId="14" fillId="0" borderId="14" xfId="1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0" fontId="14" fillId="0" borderId="12" xfId="0" applyFont="1" applyBorder="1" applyProtection="1">
      <protection locked="0"/>
    </xf>
    <xf numFmtId="0" fontId="14" fillId="0" borderId="13" xfId="0" applyFont="1" applyBorder="1" applyAlignment="1" applyProtection="1">
      <alignment horizontal="left" vertical="center"/>
      <protection locked="0"/>
    </xf>
    <xf numFmtId="0" fontId="14" fillId="0" borderId="13" xfId="0" applyFont="1" applyBorder="1" applyProtection="1">
      <protection locked="0"/>
    </xf>
    <xf numFmtId="3" fontId="14" fillId="0" borderId="13" xfId="0" applyNumberFormat="1" applyFont="1" applyBorder="1" applyAlignment="1" applyProtection="1">
      <alignment horizontal="right" vertical="center" wrapText="1" readingOrder="1"/>
      <protection locked="0"/>
    </xf>
    <xf numFmtId="164" fontId="14" fillId="0" borderId="13" xfId="1" applyNumberFormat="1" applyFont="1" applyBorder="1" applyAlignment="1" applyProtection="1">
      <alignment horizontal="right" vertical="center" wrapText="1" readingOrder="1"/>
      <protection locked="0"/>
    </xf>
    <xf numFmtId="166" fontId="14" fillId="0" borderId="13" xfId="3" applyNumberFormat="1" applyFont="1" applyFill="1" applyBorder="1" applyAlignment="1" applyProtection="1">
      <alignment horizontal="right" vertical="center" wrapText="1" readingOrder="1"/>
      <protection locked="0"/>
    </xf>
    <xf numFmtId="166" fontId="14" fillId="0" borderId="13" xfId="3" applyNumberFormat="1" applyFont="1" applyBorder="1" applyAlignment="1" applyProtection="1">
      <alignment horizontal="right" vertical="center" wrapText="1" readingOrder="1"/>
      <protection locked="0"/>
    </xf>
    <xf numFmtId="164" fontId="14" fillId="0" borderId="13" xfId="1" applyNumberFormat="1" applyFont="1" applyBorder="1" applyProtection="1">
      <protection locked="0"/>
    </xf>
    <xf numFmtId="166" fontId="14" fillId="0" borderId="13" xfId="0" applyNumberFormat="1" applyFont="1" applyBorder="1" applyAlignment="1" applyProtection="1">
      <alignment horizontal="right" vertical="center" wrapText="1" readingOrder="1"/>
      <protection locked="0"/>
    </xf>
    <xf numFmtId="166" fontId="14" fillId="0" borderId="13" xfId="0" applyNumberFormat="1" applyFont="1" applyBorder="1" applyProtection="1">
      <protection locked="0"/>
    </xf>
    <xf numFmtId="1" fontId="14" fillId="0" borderId="13" xfId="0" applyNumberFormat="1" applyFont="1" applyBorder="1" applyProtection="1">
      <protection locked="0"/>
    </xf>
    <xf numFmtId="164" fontId="14" fillId="0" borderId="14" xfId="1" applyNumberFormat="1" applyFont="1" applyBorder="1" applyAlignment="1" applyProtection="1">
      <alignment horizontal="right"/>
      <protection locked="0"/>
    </xf>
    <xf numFmtId="164" fontId="14" fillId="0" borderId="13" xfId="1" applyNumberFormat="1" applyFont="1" applyFill="1" applyBorder="1" applyProtection="1">
      <protection locked="0"/>
    </xf>
    <xf numFmtId="164" fontId="14" fillId="0" borderId="13" xfId="1" applyNumberFormat="1" applyFont="1" applyBorder="1" applyAlignment="1" applyProtection="1">
      <alignment horizontal="right" vertical="center"/>
      <protection locked="0"/>
    </xf>
    <xf numFmtId="164" fontId="14" fillId="0" borderId="13" xfId="1" applyNumberFormat="1" applyFont="1" applyBorder="1" applyAlignment="1" applyProtection="1">
      <alignment vertical="center"/>
      <protection locked="0"/>
    </xf>
    <xf numFmtId="3" fontId="14" fillId="0" borderId="13" xfId="0" applyNumberFormat="1" applyFont="1" applyBorder="1" applyAlignment="1" applyProtection="1">
      <alignment vertical="center"/>
      <protection locked="0"/>
    </xf>
    <xf numFmtId="164" fontId="14" fillId="0" borderId="13" xfId="1" applyNumberFormat="1" applyFont="1" applyFill="1" applyBorder="1" applyAlignment="1" applyProtection="1">
      <alignment horizontal="right" vertical="center"/>
      <protection locked="0"/>
    </xf>
    <xf numFmtId="164" fontId="14" fillId="0" borderId="13" xfId="1" applyNumberFormat="1" applyFont="1" applyFill="1" applyBorder="1" applyAlignment="1" applyProtection="1">
      <alignment vertical="center"/>
      <protection locked="0"/>
    </xf>
    <xf numFmtId="164" fontId="2" fillId="0" borderId="0" xfId="1" applyNumberFormat="1" applyFont="1" applyFill="1"/>
    <xf numFmtId="3" fontId="16" fillId="5" borderId="13" xfId="0" applyNumberFormat="1" applyFont="1" applyFill="1" applyBorder="1"/>
    <xf numFmtId="1" fontId="14" fillId="0" borderId="9" xfId="0" applyNumberFormat="1" applyFont="1" applyBorder="1" applyAlignment="1" applyProtection="1">
      <alignment horizontal="center"/>
      <protection locked="0"/>
    </xf>
    <xf numFmtId="4" fontId="2" fillId="0" borderId="0" xfId="0" applyNumberFormat="1" applyFont="1"/>
    <xf numFmtId="164" fontId="17" fillId="0" borderId="13" xfId="1" applyNumberFormat="1" applyFont="1" applyFill="1" applyBorder="1" applyAlignment="1"/>
    <xf numFmtId="9" fontId="17" fillId="0" borderId="13" xfId="3" applyFont="1" applyFill="1" applyBorder="1" applyAlignment="1"/>
    <xf numFmtId="164" fontId="14" fillId="0" borderId="13" xfId="0" applyNumberFormat="1" applyFont="1" applyBorder="1" applyAlignment="1" applyProtection="1">
      <alignment horizontal="right" vertical="center" wrapText="1" readingOrder="1"/>
      <protection locked="0"/>
    </xf>
    <xf numFmtId="9" fontId="14" fillId="0" borderId="13" xfId="3" applyFont="1" applyFill="1" applyBorder="1" applyAlignment="1" applyProtection="1">
      <alignment horizontal="right" vertical="center" wrapText="1" readingOrder="1"/>
      <protection locked="0"/>
    </xf>
    <xf numFmtId="164" fontId="14" fillId="0" borderId="13" xfId="1" applyNumberFormat="1" applyFont="1" applyFill="1" applyBorder="1" applyAlignment="1" applyProtection="1">
      <alignment horizontal="right" vertical="center" wrapText="1" readingOrder="1"/>
      <protection locked="0"/>
    </xf>
    <xf numFmtId="164" fontId="14" fillId="4" borderId="13" xfId="1" applyNumberFormat="1" applyFont="1" applyFill="1" applyBorder="1" applyProtection="1">
      <protection locked="0"/>
    </xf>
    <xf numFmtId="166" fontId="14" fillId="4" borderId="13" xfId="0" applyNumberFormat="1" applyFont="1" applyFill="1" applyBorder="1" applyAlignment="1" applyProtection="1">
      <alignment horizontal="right" vertical="center" wrapText="1" readingOrder="1"/>
      <protection locked="0"/>
    </xf>
    <xf numFmtId="166" fontId="14" fillId="4" borderId="13" xfId="0" applyNumberFormat="1" applyFont="1" applyFill="1" applyBorder="1" applyProtection="1">
      <protection locked="0"/>
    </xf>
    <xf numFmtId="166" fontId="14" fillId="4" borderId="13" xfId="0" applyNumberFormat="1" applyFont="1" applyFill="1" applyBorder="1" applyAlignment="1" applyProtection="1">
      <alignment horizontal="center"/>
      <protection locked="0"/>
    </xf>
    <xf numFmtId="0" fontId="14" fillId="4" borderId="13" xfId="0" applyFont="1" applyFill="1" applyBorder="1" applyAlignment="1" applyProtection="1">
      <alignment horizontal="left" vertical="center" wrapText="1" readingOrder="1"/>
      <protection locked="0"/>
    </xf>
    <xf numFmtId="164" fontId="14" fillId="4" borderId="13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4" borderId="13" xfId="1" applyNumberFormat="1" applyFont="1" applyFill="1" applyBorder="1" applyAlignment="1" applyProtection="1">
      <alignment horizontal="right" vertical="center"/>
      <protection locked="0"/>
    </xf>
    <xf numFmtId="1" fontId="14" fillId="4" borderId="13" xfId="0" applyNumberFormat="1" applyFont="1" applyFill="1" applyBorder="1" applyAlignment="1" applyProtection="1">
      <alignment horizontal="center"/>
      <protection locked="0"/>
    </xf>
    <xf numFmtId="1" fontId="14" fillId="4" borderId="13" xfId="1" applyNumberFormat="1" applyFont="1" applyFill="1" applyBorder="1" applyProtection="1">
      <protection locked="0"/>
    </xf>
    <xf numFmtId="1" fontId="14" fillId="4" borderId="14" xfId="1" applyNumberFormat="1" applyFont="1" applyFill="1" applyBorder="1" applyProtection="1">
      <protection locked="0"/>
    </xf>
    <xf numFmtId="0" fontId="14" fillId="0" borderId="13" xfId="0" applyFont="1" applyBorder="1" applyAlignment="1" applyProtection="1">
      <alignment horizontal="left" vertical="center" wrapText="1" readingOrder="1"/>
      <protection locked="0"/>
    </xf>
    <xf numFmtId="9" fontId="14" fillId="0" borderId="13" xfId="1" applyNumberFormat="1" applyFont="1" applyFill="1" applyBorder="1" applyAlignment="1" applyProtection="1">
      <alignment horizontal="right" vertical="center" wrapText="1" readingOrder="1"/>
      <protection locked="0"/>
    </xf>
    <xf numFmtId="164" fontId="15" fillId="0" borderId="14" xfId="1" applyNumberFormat="1" applyFont="1" applyFill="1" applyBorder="1" applyAlignment="1" applyProtection="1">
      <alignment horizontal="right"/>
      <protection locked="0"/>
    </xf>
    <xf numFmtId="9" fontId="15" fillId="0" borderId="11" xfId="0" applyNumberFormat="1" applyFont="1" applyBorder="1" applyProtection="1">
      <protection locked="0"/>
    </xf>
    <xf numFmtId="0" fontId="14" fillId="6" borderId="13" xfId="0" applyFont="1" applyFill="1" applyBorder="1" applyAlignment="1" applyProtection="1">
      <alignment horizontal="left" vertical="center" wrapText="1" readingOrder="1"/>
      <protection locked="0"/>
    </xf>
    <xf numFmtId="0" fontId="14" fillId="6" borderId="13" xfId="0" applyFont="1" applyFill="1" applyBorder="1" applyProtection="1">
      <protection locked="0"/>
    </xf>
    <xf numFmtId="3" fontId="14" fillId="6" borderId="13" xfId="0" applyNumberFormat="1" applyFont="1" applyFill="1" applyBorder="1" applyAlignment="1" applyProtection="1">
      <alignment horizontal="right" vertical="center" wrapText="1" readingOrder="1"/>
      <protection locked="0"/>
    </xf>
    <xf numFmtId="164" fontId="14" fillId="6" borderId="13" xfId="1" applyNumberFormat="1" applyFont="1" applyFill="1" applyBorder="1" applyProtection="1">
      <protection locked="0"/>
    </xf>
    <xf numFmtId="166" fontId="14" fillId="6" borderId="13" xfId="0" applyNumberFormat="1" applyFont="1" applyFill="1" applyBorder="1" applyAlignment="1" applyProtection="1">
      <alignment horizontal="right" vertical="center" wrapText="1" readingOrder="1"/>
      <protection locked="0"/>
    </xf>
    <xf numFmtId="166" fontId="14" fillId="6" borderId="13" xfId="0" applyNumberFormat="1" applyFont="1" applyFill="1" applyBorder="1" applyProtection="1">
      <protection locked="0"/>
    </xf>
    <xf numFmtId="164" fontId="14" fillId="6" borderId="13" xfId="1" applyNumberFormat="1" applyFont="1" applyFill="1" applyBorder="1" applyAlignment="1" applyProtection="1">
      <alignment vertical="center"/>
      <protection locked="0"/>
    </xf>
    <xf numFmtId="164" fontId="17" fillId="0" borderId="14" xfId="1" applyNumberFormat="1" applyFont="1" applyFill="1" applyBorder="1" applyAlignment="1" applyProtection="1">
      <alignment horizontal="right"/>
      <protection locked="0"/>
    </xf>
    <xf numFmtId="9" fontId="17" fillId="0" borderId="11" xfId="0" applyNumberFormat="1" applyFont="1" applyBorder="1" applyProtection="1">
      <protection locked="0"/>
    </xf>
    <xf numFmtId="164" fontId="14" fillId="0" borderId="13" xfId="0" applyNumberFormat="1" applyFont="1" applyBorder="1" applyProtection="1">
      <protection locked="0"/>
    </xf>
    <xf numFmtId="164" fontId="14" fillId="0" borderId="0" xfId="1" applyNumberFormat="1" applyFont="1" applyBorder="1" applyProtection="1">
      <protection locked="0"/>
    </xf>
    <xf numFmtId="9" fontId="14" fillId="0" borderId="0" xfId="3" applyFont="1" applyBorder="1" applyAlignment="1" applyProtection="1">
      <alignment horizontal="right" vertical="center" wrapText="1" readingOrder="1"/>
      <protection locked="0"/>
    </xf>
    <xf numFmtId="9" fontId="14" fillId="0" borderId="0" xfId="3" applyFont="1" applyBorder="1" applyProtection="1">
      <protection locked="0"/>
    </xf>
    <xf numFmtId="164" fontId="14" fillId="0" borderId="0" xfId="1" applyNumberFormat="1" applyFont="1" applyFill="1" applyBorder="1" applyProtection="1">
      <protection locked="0"/>
    </xf>
    <xf numFmtId="166" fontId="14" fillId="0" borderId="0" xfId="0" applyNumberFormat="1" applyFont="1" applyAlignment="1" applyProtection="1">
      <alignment horizontal="right" vertical="center" wrapText="1" readingOrder="1"/>
      <protection locked="0"/>
    </xf>
    <xf numFmtId="166" fontId="14" fillId="0" borderId="0" xfId="0" applyNumberFormat="1" applyFont="1" applyProtection="1">
      <protection locked="0"/>
    </xf>
    <xf numFmtId="164" fontId="14" fillId="0" borderId="13" xfId="0" applyNumberFormat="1" applyFont="1" applyBorder="1" applyAlignment="1" applyProtection="1">
      <alignment horizontal="right"/>
      <protection locked="0"/>
    </xf>
    <xf numFmtId="0" fontId="17" fillId="0" borderId="12" xfId="0" applyFont="1" applyBorder="1" applyProtection="1">
      <protection locked="0"/>
    </xf>
    <xf numFmtId="0" fontId="17" fillId="0" borderId="13" xfId="0" applyFont="1" applyBorder="1" applyProtection="1">
      <protection locked="0"/>
    </xf>
    <xf numFmtId="0" fontId="15" fillId="0" borderId="13" xfId="0" applyFont="1" applyBorder="1" applyProtection="1">
      <protection locked="0"/>
    </xf>
    <xf numFmtId="3" fontId="17" fillId="0" borderId="13" xfId="0" applyNumberFormat="1" applyFont="1" applyBorder="1" applyAlignment="1" applyProtection="1">
      <alignment horizontal="right" vertical="center" wrapText="1" readingOrder="1"/>
      <protection locked="0"/>
    </xf>
    <xf numFmtId="164" fontId="17" fillId="0" borderId="13" xfId="1" applyNumberFormat="1" applyFont="1" applyFill="1" applyBorder="1" applyProtection="1">
      <protection locked="0"/>
    </xf>
    <xf numFmtId="166" fontId="17" fillId="0" borderId="13" xfId="0" applyNumberFormat="1" applyFont="1" applyBorder="1" applyAlignment="1" applyProtection="1">
      <alignment horizontal="right" vertical="center" wrapText="1" readingOrder="1"/>
      <protection locked="0"/>
    </xf>
    <xf numFmtId="166" fontId="17" fillId="0" borderId="13" xfId="0" applyNumberFormat="1" applyFont="1" applyBorder="1" applyProtection="1">
      <protection locked="0"/>
    </xf>
    <xf numFmtId="164" fontId="17" fillId="0" borderId="13" xfId="1" applyNumberFormat="1" applyFont="1" applyFill="1" applyBorder="1" applyAlignment="1" applyProtection="1">
      <alignment horizontal="right" vertical="center" wrapText="1" readingOrder="1"/>
      <protection locked="0"/>
    </xf>
    <xf numFmtId="0" fontId="17" fillId="0" borderId="13" xfId="0" applyFont="1" applyBorder="1" applyAlignment="1" applyProtection="1">
      <alignment horizontal="left" vertical="center"/>
      <protection locked="0"/>
    </xf>
    <xf numFmtId="164" fontId="17" fillId="0" borderId="13" xfId="1" applyNumberFormat="1" applyFont="1" applyBorder="1" applyProtection="1">
      <protection locked="0"/>
    </xf>
    <xf numFmtId="0" fontId="14" fillId="7" borderId="13" xfId="0" applyFont="1" applyFill="1" applyBorder="1" applyAlignment="1" applyProtection="1">
      <alignment horizontal="left" vertical="center"/>
      <protection locked="0"/>
    </xf>
    <xf numFmtId="164" fontId="17" fillId="0" borderId="13" xfId="1" applyNumberFormat="1" applyFont="1" applyBorder="1"/>
    <xf numFmtId="9" fontId="17" fillId="0" borderId="13" xfId="3" applyFont="1" applyBorder="1"/>
    <xf numFmtId="164" fontId="17" fillId="0" borderId="0" xfId="1" applyNumberFormat="1" applyFont="1" applyFill="1" applyBorder="1"/>
    <xf numFmtId="9" fontId="17" fillId="0" borderId="0" xfId="3" applyFont="1" applyFill="1" applyBorder="1"/>
    <xf numFmtId="164" fontId="17" fillId="0" borderId="0" xfId="1" applyNumberFormat="1" applyFont="1" applyFill="1"/>
    <xf numFmtId="9" fontId="17" fillId="0" borderId="0" xfId="3" applyFont="1" applyFill="1"/>
    <xf numFmtId="0" fontId="14" fillId="7" borderId="13" xfId="0" applyFont="1" applyFill="1" applyBorder="1" applyProtection="1">
      <protection locked="0"/>
    </xf>
    <xf numFmtId="164" fontId="17" fillId="0" borderId="13" xfId="1" applyNumberFormat="1" applyFont="1" applyFill="1" applyBorder="1"/>
    <xf numFmtId="9" fontId="17" fillId="0" borderId="13" xfId="3" applyFont="1" applyFill="1" applyBorder="1"/>
    <xf numFmtId="1" fontId="14" fillId="0" borderId="14" xfId="0" applyNumberFormat="1" applyFont="1" applyBorder="1" applyProtection="1">
      <protection locked="0"/>
    </xf>
    <xf numFmtId="164" fontId="14" fillId="4" borderId="0" xfId="1" applyNumberFormat="1" applyFont="1" applyFill="1" applyBorder="1" applyProtection="1">
      <protection locked="0"/>
    </xf>
    <xf numFmtId="166" fontId="14" fillId="4" borderId="0" xfId="0" applyNumberFormat="1" applyFont="1" applyFill="1" applyAlignment="1" applyProtection="1">
      <alignment horizontal="right" vertical="center" wrapText="1" readingOrder="1"/>
      <protection locked="0"/>
    </xf>
    <xf numFmtId="166" fontId="14" fillId="4" borderId="0" xfId="0" applyNumberFormat="1" applyFont="1" applyFill="1" applyProtection="1">
      <protection locked="0"/>
    </xf>
    <xf numFmtId="164" fontId="14" fillId="4" borderId="14" xfId="1" applyNumberFormat="1" applyFont="1" applyFill="1" applyBorder="1" applyProtection="1">
      <protection locked="0"/>
    </xf>
    <xf numFmtId="164" fontId="14" fillId="4" borderId="13" xfId="1" applyNumberFormat="1" applyFont="1" applyFill="1" applyBorder="1" applyAlignment="1" applyProtection="1">
      <alignment vertical="center"/>
      <protection locked="0"/>
    </xf>
    <xf numFmtId="9" fontId="14" fillId="4" borderId="13" xfId="3" applyFont="1" applyFill="1" applyBorder="1" applyAlignment="1" applyProtection="1">
      <alignment horizontal="right" vertical="center" wrapText="1" readingOrder="1"/>
      <protection locked="0"/>
    </xf>
    <xf numFmtId="9" fontId="14" fillId="4" borderId="13" xfId="3" applyFont="1" applyFill="1" applyBorder="1" applyProtection="1">
      <protection locked="0"/>
    </xf>
    <xf numFmtId="164" fontId="14" fillId="4" borderId="13" xfId="0" applyNumberFormat="1" applyFont="1" applyFill="1" applyBorder="1" applyProtection="1">
      <protection locked="0"/>
    </xf>
    <xf numFmtId="164" fontId="14" fillId="6" borderId="14" xfId="1" applyNumberFormat="1" applyFont="1" applyFill="1" applyBorder="1" applyAlignment="1" applyProtection="1">
      <alignment horizontal="right"/>
      <protection locked="0"/>
    </xf>
    <xf numFmtId="9" fontId="14" fillId="6" borderId="11" xfId="0" applyNumberFormat="1" applyFont="1" applyFill="1" applyBorder="1" applyProtection="1">
      <protection locked="0"/>
    </xf>
    <xf numFmtId="0" fontId="2" fillId="6" borderId="0" xfId="0" applyFont="1" applyFill="1"/>
    <xf numFmtId="164" fontId="2" fillId="6" borderId="0" xfId="1" applyNumberFormat="1" applyFont="1" applyFill="1"/>
    <xf numFmtId="9" fontId="2" fillId="6" borderId="0" xfId="0" applyNumberFormat="1" applyFont="1" applyFill="1"/>
    <xf numFmtId="9" fontId="14" fillId="0" borderId="11" xfId="3" applyFont="1" applyBorder="1" applyProtection="1">
      <protection locked="0"/>
    </xf>
    <xf numFmtId="0" fontId="2" fillId="8" borderId="0" xfId="0" applyFont="1" applyFill="1"/>
    <xf numFmtId="164" fontId="2" fillId="8" borderId="0" xfId="1" applyNumberFormat="1" applyFont="1" applyFill="1"/>
    <xf numFmtId="9" fontId="2" fillId="8" borderId="0" xfId="0" applyNumberFormat="1" applyFont="1" applyFill="1"/>
    <xf numFmtId="9" fontId="14" fillId="4" borderId="0" xfId="3" applyFont="1" applyFill="1" applyBorder="1" applyAlignment="1" applyProtection="1">
      <alignment horizontal="right" vertical="center" wrapText="1" readingOrder="1"/>
      <protection locked="0"/>
    </xf>
    <xf numFmtId="9" fontId="14" fillId="4" borderId="0" xfId="3" applyFont="1" applyFill="1" applyBorder="1" applyProtection="1">
      <protection locked="0"/>
    </xf>
    <xf numFmtId="166" fontId="14" fillId="0" borderId="13" xfId="3" applyNumberFormat="1" applyFont="1" applyFill="1" applyBorder="1" applyProtection="1">
      <protection locked="0"/>
    </xf>
    <xf numFmtId="166" fontId="14" fillId="4" borderId="13" xfId="3" applyNumberFormat="1" applyFont="1" applyFill="1" applyBorder="1" applyProtection="1">
      <protection locked="0"/>
    </xf>
    <xf numFmtId="1" fontId="14" fillId="0" borderId="13" xfId="0" applyNumberFormat="1" applyFont="1" applyBorder="1" applyAlignment="1" applyProtection="1">
      <alignment horizontal="center"/>
      <protection locked="0"/>
    </xf>
    <xf numFmtId="3" fontId="14" fillId="0" borderId="13" xfId="1" applyNumberFormat="1" applyFont="1" applyFill="1" applyBorder="1" applyAlignment="1" applyProtection="1">
      <alignment horizontal="right" vertical="center" wrapText="1" readingOrder="1"/>
      <protection locked="0"/>
    </xf>
    <xf numFmtId="1" fontId="14" fillId="0" borderId="13" xfId="1" applyNumberFormat="1" applyFont="1" applyFill="1" applyBorder="1" applyProtection="1">
      <protection locked="0"/>
    </xf>
    <xf numFmtId="1" fontId="14" fillId="0" borderId="14" xfId="1" applyNumberFormat="1" applyFont="1" applyFill="1" applyBorder="1" applyProtection="1">
      <protection locked="0"/>
    </xf>
    <xf numFmtId="164" fontId="14" fillId="4" borderId="13" xfId="1" applyNumberFormat="1" applyFont="1" applyFill="1" applyBorder="1" applyAlignment="1">
      <alignment horizontal="right" vertical="center" wrapText="1"/>
    </xf>
    <xf numFmtId="164" fontId="17" fillId="9" borderId="13" xfId="1" applyNumberFormat="1" applyFont="1" applyFill="1" applyBorder="1"/>
    <xf numFmtId="9" fontId="18" fillId="0" borderId="13" xfId="0" applyNumberFormat="1" applyFont="1" applyBorder="1"/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14" fillId="0" borderId="17" xfId="0" applyFont="1" applyBorder="1" applyProtection="1">
      <protection locked="0"/>
    </xf>
    <xf numFmtId="164" fontId="14" fillId="0" borderId="16" xfId="1" applyNumberFormat="1" applyFont="1" applyFill="1" applyBorder="1" applyProtection="1">
      <protection locked="0"/>
    </xf>
    <xf numFmtId="164" fontId="17" fillId="0" borderId="16" xfId="1" applyNumberFormat="1" applyFont="1" applyFill="1" applyBorder="1"/>
    <xf numFmtId="9" fontId="17" fillId="0" borderId="16" xfId="3" applyFont="1" applyFill="1" applyBorder="1"/>
    <xf numFmtId="3" fontId="14" fillId="0" borderId="16" xfId="0" applyNumberFormat="1" applyFont="1" applyBorder="1" applyAlignment="1" applyProtection="1">
      <alignment horizontal="right" vertical="center" wrapText="1" readingOrder="1"/>
      <protection locked="0"/>
    </xf>
    <xf numFmtId="1" fontId="14" fillId="0" borderId="16" xfId="0" applyNumberFormat="1" applyFont="1" applyBorder="1" applyProtection="1">
      <protection locked="0"/>
    </xf>
    <xf numFmtId="164" fontId="14" fillId="0" borderId="18" xfId="1" applyNumberFormat="1" applyFont="1" applyFill="1" applyBorder="1" applyAlignment="1" applyProtection="1">
      <alignment horizontal="right"/>
      <protection locked="0"/>
    </xf>
    <xf numFmtId="9" fontId="2" fillId="0" borderId="0" xfId="1" applyNumberFormat="1" applyFont="1"/>
    <xf numFmtId="164" fontId="14" fillId="0" borderId="16" xfId="0" applyNumberFormat="1" applyFont="1" applyBorder="1" applyProtection="1">
      <protection locked="0"/>
    </xf>
    <xf numFmtId="164" fontId="14" fillId="4" borderId="16" xfId="0" applyNumberFormat="1" applyFont="1" applyFill="1" applyBorder="1" applyAlignment="1" applyProtection="1">
      <alignment horizontal="right" vertical="center"/>
      <protection locked="0"/>
    </xf>
    <xf numFmtId="164" fontId="14" fillId="4" borderId="16" xfId="0" applyNumberFormat="1" applyFont="1" applyFill="1" applyBorder="1" applyProtection="1">
      <protection locked="0"/>
    </xf>
    <xf numFmtId="164" fontId="14" fillId="4" borderId="16" xfId="0" applyNumberFormat="1" applyFont="1" applyFill="1" applyBorder="1" applyAlignment="1" applyProtection="1">
      <alignment horizontal="right" vertical="center" wrapText="1" readingOrder="1"/>
      <protection locked="0"/>
    </xf>
    <xf numFmtId="166" fontId="14" fillId="0" borderId="16" xfId="0" applyNumberFormat="1" applyFont="1" applyBorder="1" applyAlignment="1" applyProtection="1">
      <alignment horizontal="right" vertical="center" wrapText="1" readingOrder="1"/>
      <protection locked="0"/>
    </xf>
    <xf numFmtId="166" fontId="14" fillId="0" borderId="16" xfId="0" applyNumberFormat="1" applyFont="1" applyBorder="1" applyProtection="1">
      <protection locked="0"/>
    </xf>
    <xf numFmtId="166" fontId="14" fillId="4" borderId="16" xfId="0" applyNumberFormat="1" applyFont="1" applyFill="1" applyBorder="1" applyProtection="1">
      <protection locked="0"/>
    </xf>
    <xf numFmtId="1" fontId="14" fillId="0" borderId="16" xfId="0" applyNumberFormat="1" applyFont="1" applyBorder="1" applyAlignment="1" applyProtection="1">
      <alignment horizontal="center"/>
      <protection locked="0"/>
    </xf>
    <xf numFmtId="1" fontId="14" fillId="4" borderId="16" xfId="0" applyNumberFormat="1" applyFont="1" applyFill="1" applyBorder="1" applyAlignment="1" applyProtection="1">
      <alignment horizontal="center"/>
      <protection locked="0"/>
    </xf>
    <xf numFmtId="1" fontId="14" fillId="0" borderId="19" xfId="0" applyNumberFormat="1" applyFont="1" applyBorder="1" applyAlignment="1" applyProtection="1">
      <alignment horizontal="center"/>
      <protection locked="0"/>
    </xf>
    <xf numFmtId="164" fontId="14" fillId="4" borderId="16" xfId="0" applyNumberFormat="1" applyFont="1" applyFill="1" applyBorder="1" applyAlignment="1" applyProtection="1">
      <alignment horizontal="center"/>
      <protection locked="0"/>
    </xf>
    <xf numFmtId="164" fontId="14" fillId="0" borderId="18" xfId="1" applyNumberFormat="1" applyFont="1" applyBorder="1" applyAlignment="1" applyProtection="1">
      <alignment horizontal="right"/>
      <protection locked="0"/>
    </xf>
    <xf numFmtId="0" fontId="14" fillId="0" borderId="20" xfId="0" applyFont="1" applyBorder="1" applyProtection="1">
      <protection locked="0"/>
    </xf>
    <xf numFmtId="164" fontId="14" fillId="4" borderId="13" xfId="0" applyNumberFormat="1" applyFont="1" applyFill="1" applyBorder="1" applyAlignment="1" applyProtection="1">
      <alignment horizontal="right" vertical="center"/>
      <protection locked="0"/>
    </xf>
    <xf numFmtId="1" fontId="14" fillId="0" borderId="14" xfId="0" applyNumberFormat="1" applyFont="1" applyBorder="1" applyAlignment="1" applyProtection="1">
      <alignment horizontal="center"/>
      <protection locked="0"/>
    </xf>
    <xf numFmtId="164" fontId="14" fillId="4" borderId="13" xfId="0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9" fontId="2" fillId="0" borderId="0" xfId="0" applyNumberFormat="1" applyFont="1" applyProtection="1">
      <protection locked="0"/>
    </xf>
    <xf numFmtId="43" fontId="2" fillId="0" borderId="0" xfId="0" applyNumberFormat="1" applyFont="1" applyProtection="1">
      <protection locked="0"/>
    </xf>
    <xf numFmtId="166" fontId="2" fillId="0" borderId="0" xfId="3" applyNumberFormat="1" applyFont="1" applyProtection="1">
      <protection locked="0"/>
    </xf>
    <xf numFmtId="41" fontId="0" fillId="0" borderId="0" xfId="2" applyFont="1"/>
    <xf numFmtId="166" fontId="0" fillId="0" borderId="0" xfId="3" applyNumberFormat="1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65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thin">
          <color theme="0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hair">
          <color theme="0" tint="-4.9989318521683403E-2"/>
        </left>
        <right style="thin">
          <color theme="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1"/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wrapText="0" indent="0" justifyLastLine="0" shrinkToFit="0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0.0%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1" indent="0" justifyLastLine="0" shrinkToFit="0" readingOrder="1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hair">
          <color theme="0" tint="-4.9989318521683403E-2"/>
        </left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hair">
          <color theme="0" tint="-4.9989318521683403E-2"/>
        </right>
        <top style="hair">
          <color theme="0" tint="-4.9989318521683403E-2"/>
        </top>
        <bottom style="hair">
          <color theme="0" tint="-4.9989318521683403E-2"/>
        </bottom>
        <vertical style="hair">
          <color theme="0" tint="-4.9989318521683403E-2"/>
        </vertical>
        <horizontal style="hair">
          <color theme="0" tint="-4.9989318521683403E-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446673</xdr:colOff>
      <xdr:row>0</xdr:row>
      <xdr:rowOff>133016</xdr:rowOff>
    </xdr:from>
    <xdr:to>
      <xdr:col>25</xdr:col>
      <xdr:colOff>586895</xdr:colOff>
      <xdr:row>3</xdr:row>
      <xdr:rowOff>57150</xdr:rowOff>
    </xdr:to>
    <xdr:sp macro="[1]!tes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7711F24-4BF5-704F-B29C-5A87DB17EC6F}"/>
            </a:ext>
          </a:extLst>
        </xdr:cNvPr>
        <xdr:cNvSpPr/>
      </xdr:nvSpPr>
      <xdr:spPr>
        <a:xfrm>
          <a:off x="22493873" y="133016"/>
          <a:ext cx="2400822" cy="52103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Anh/chị</a:t>
          </a:r>
          <a:r>
            <a:rPr lang="en-US" sz="1100" b="1" baseline="0"/>
            <a:t> ấn Refresh để cập nhật Sheet 03. BSC Forecast</a:t>
          </a:r>
          <a:endParaRPr lang="en-US" sz="1100" b="1"/>
        </a:p>
      </xdr:txBody>
    </xdr:sp>
    <xdr:clientData/>
  </xdr:twoCellAnchor>
  <xdr:twoCellAnchor>
    <xdr:from>
      <xdr:col>20</xdr:col>
      <xdr:colOff>1</xdr:colOff>
      <xdr:row>0</xdr:row>
      <xdr:rowOff>133016</xdr:rowOff>
    </xdr:from>
    <xdr:to>
      <xdr:col>23</xdr:col>
      <xdr:colOff>266701</xdr:colOff>
      <xdr:row>3</xdr:row>
      <xdr:rowOff>75866</xdr:rowOff>
    </xdr:to>
    <xdr:sp macro="[1]!refresh_latestdat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DB0583B-43D8-D54C-A762-1D987030C795}"/>
            </a:ext>
          </a:extLst>
        </xdr:cNvPr>
        <xdr:cNvSpPr/>
      </xdr:nvSpPr>
      <xdr:spPr>
        <a:xfrm>
          <a:off x="19329401" y="133016"/>
          <a:ext cx="2984500" cy="53975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Refresh</a:t>
          </a:r>
          <a:r>
            <a:rPr lang="en-US" sz="1100" b="1" baseline="0"/>
            <a:t> ngày mới nhất và giá đóng cửa!</a:t>
          </a:r>
          <a:endParaRPr lang="en-US" sz="1100" b="1"/>
        </a:p>
      </xdr:txBody>
    </xdr:sp>
    <xdr:clientData/>
  </xdr:twoCellAnchor>
  <xdr:twoCellAnchor>
    <xdr:from>
      <xdr:col>25</xdr:col>
      <xdr:colOff>721591</xdr:colOff>
      <xdr:row>0</xdr:row>
      <xdr:rowOff>142637</xdr:rowOff>
    </xdr:from>
    <xdr:to>
      <xdr:col>31</xdr:col>
      <xdr:colOff>105834</xdr:colOff>
      <xdr:row>3</xdr:row>
      <xdr:rowOff>85487</xdr:rowOff>
    </xdr:to>
    <xdr:sp macro="[1]!refresh_all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BF315F9-EA76-E340-9265-DA2D5ABF7279}"/>
            </a:ext>
          </a:extLst>
        </xdr:cNvPr>
        <xdr:cNvSpPr/>
      </xdr:nvSpPr>
      <xdr:spPr>
        <a:xfrm>
          <a:off x="25029391" y="142637"/>
          <a:ext cx="6089843" cy="53975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Refresh</a:t>
          </a:r>
          <a:r>
            <a:rPr lang="en-US" sz="1100" b="1" baseline="0"/>
            <a:t> all </a:t>
          </a:r>
        </a:p>
        <a:p>
          <a:pPr algn="ctr"/>
          <a:r>
            <a:rPr lang="en-US" sz="1100" b="1" baseline="0"/>
            <a:t>Cập nhật tất cả</a:t>
          </a:r>
          <a:endParaRPr lang="en-US" sz="1100" b="1"/>
        </a:p>
      </xdr:txBody>
    </xdr:sp>
    <xdr:clientData/>
  </xdr:twoCellAnchor>
  <xdr:oneCellAnchor>
    <xdr:from>
      <xdr:col>6</xdr:col>
      <xdr:colOff>609599</xdr:colOff>
      <xdr:row>0</xdr:row>
      <xdr:rowOff>47625</xdr:rowOff>
    </xdr:from>
    <xdr:ext cx="6105525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1E1DBE-C0DA-CA43-9DDD-85D406084777}"/>
            </a:ext>
          </a:extLst>
        </xdr:cNvPr>
        <xdr:cNvSpPr txBox="1"/>
      </xdr:nvSpPr>
      <xdr:spPr>
        <a:xfrm>
          <a:off x="5791199" y="47625"/>
          <a:ext cx="6105525" cy="60901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Bước</a:t>
          </a:r>
          <a:r>
            <a:rPr lang="en-US" sz="1100" baseline="0">
              <a:solidFill>
                <a:schemeClr val="bg1"/>
              </a:solidFill>
            </a:rPr>
            <a:t> 1: Nhập Forecast trong </a:t>
          </a:r>
          <a:r>
            <a:rPr lang="en-US" sz="1100" b="1" baseline="0">
              <a:solidFill>
                <a:schemeClr val="bg1"/>
              </a:solidFill>
            </a:rPr>
            <a:t>sheet 02_Nhập dự báo </a:t>
          </a:r>
          <a:br>
            <a:rPr lang="en-US" sz="1100" baseline="0">
              <a:solidFill>
                <a:schemeClr val="bg1"/>
              </a:solidFill>
            </a:rPr>
          </a:br>
          <a:r>
            <a:rPr lang="en-US" sz="1100" baseline="0">
              <a:solidFill>
                <a:schemeClr val="bg1"/>
              </a:solidFill>
            </a:rPr>
            <a:t>Bước 2: Xem lại </a:t>
          </a:r>
          <a:r>
            <a:rPr lang="en-US" sz="1100" b="1" baseline="0">
              <a:solidFill>
                <a:schemeClr val="bg1"/>
              </a:solidFill>
            </a:rPr>
            <a:t>Sheet BC Ngành _ Tổng hợp KN </a:t>
          </a:r>
          <a:r>
            <a:rPr lang="en-US" sz="1100" baseline="0">
              <a:solidFill>
                <a:schemeClr val="bg1"/>
              </a:solidFill>
            </a:rPr>
            <a:t>-&gt; Revise các mã muốn hiện lên Báo cáo ngành</a:t>
          </a:r>
          <a:br>
            <a:rPr lang="en-US" sz="1100" baseline="0">
              <a:solidFill>
                <a:schemeClr val="bg1"/>
              </a:solidFill>
            </a:rPr>
          </a:br>
          <a:r>
            <a:rPr lang="en-US" sz="1100" baseline="0">
              <a:solidFill>
                <a:schemeClr val="bg1"/>
              </a:solidFill>
            </a:rPr>
            <a:t>Bước 3: Save file lại + Like comment để mọi người biết a/c đã cập nhật ạ</a:t>
          </a:r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114300</xdr:colOff>
      <xdr:row>0</xdr:row>
      <xdr:rowOff>161925</xdr:rowOff>
    </xdr:from>
    <xdr:to>
      <xdr:col>6</xdr:col>
      <xdr:colOff>457200</xdr:colOff>
      <xdr:row>3</xdr:row>
      <xdr:rowOff>38100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B26A7F87-93B4-EF46-AC5A-0E088894A32D}"/>
            </a:ext>
          </a:extLst>
        </xdr:cNvPr>
        <xdr:cNvSpPr/>
      </xdr:nvSpPr>
      <xdr:spPr>
        <a:xfrm>
          <a:off x="4457700" y="161925"/>
          <a:ext cx="1181100" cy="473075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uu_os/Downloads/BSC%20Master%20File%20Equity%20Pro.xlsm" TargetMode="External"/><Relationship Id="rId1" Type="http://schemas.openxmlformats.org/officeDocument/2006/relationships/externalLinkPath" Target="/Users/buu_os/Downloads/BSC%20Master%20File%20Equity%20P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Khai báo"/>
      <sheetName val="BSC3050"/>
      <sheetName val="Báo cáo Quỹ_Tổng hợp KN"/>
      <sheetName val="Tính chỉ số"/>
      <sheetName val="0_General Data"/>
      <sheetName val="BC Ngành_Tổng hợp KN"/>
      <sheetName val="A_Entry_Forecast"/>
      <sheetName val="02 Back Up xong xóa"/>
      <sheetName val="02_Nhap du bao"/>
      <sheetName val="01_Danh sach ma"/>
      <sheetName val="00_UpWeb"/>
      <sheetName val="000_Bot_Alert"/>
      <sheetName val="03_BSC Forecast"/>
      <sheetName val="03_Cổng Data Warehouse"/>
      <sheetName val="Danh sách AM"/>
      <sheetName val="04_ Ước tính KQKD quý"/>
      <sheetName val="05_Upweb_Forecast"/>
      <sheetName val="BSC Monthly Call"/>
      <sheetName val="One off"/>
      <sheetName val="Hana_TOP2"/>
      <sheetName val="closing"/>
      <sheetName val="fs_year"/>
      <sheetName val="fs"/>
      <sheetName val="holder"/>
      <sheetName val="ratio"/>
      <sheetName val="name"/>
    </sheetNames>
    <definedNames>
      <definedName name="refresh_all"/>
      <definedName name="refresh_latestdate"/>
      <definedName name="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4EDFE-13F1-564E-B040-B6CBD8984645}" name="A_Entry_Forecast" displayName="A_Entry_Forecast" ref="B7:AD104" headerRowDxfId="64" dataDxfId="63">
  <sortState xmlns:xlrd2="http://schemas.microsoft.com/office/spreadsheetml/2017/richdata2" ref="B8:AD103">
    <sortCondition ref="B8:B102"/>
  </sortState>
  <tableColumns count="29">
    <tableColumn id="1" xr3:uid="{6D98D6E2-887B-5A49-BE7E-B6A542FBDE4F}" name="Analyst" totalsRowLabel="Total" dataDxfId="61" totalsRowDxfId="62"/>
    <tableColumn id="2" xr3:uid="{13076FC3-6767-2B4A-A3EB-C0D1C82660BC}" name="Ticker" dataDxfId="59" totalsRowDxfId="60"/>
    <tableColumn id="3" xr3:uid="{93E86EEF-79F1-6A48-BFF9-13B9B86CD9DE}" name="Rating" dataDxfId="57" totalsRowDxfId="58"/>
    <tableColumn id="4" xr3:uid="{38FDEA83-8D7F-D04C-8E2E-534FD175CDF0}" name="Target Price" dataDxfId="55" totalsRowDxfId="56"/>
    <tableColumn id="6" xr3:uid="{3A567326-21DC-D349-B02B-DD3E596287EA}" name="REV_FY" dataDxfId="53" totalsRowDxfId="54"/>
    <tableColumn id="7" xr3:uid="{1C5CE6AA-757B-664C-99AD-D4B5CB2312AD}" name="REV_FY+1" dataDxfId="51" totalsRowDxfId="52"/>
    <tableColumn id="5" xr3:uid="{414B5BDB-0168-9C48-AF80-75B1CF0D4F5A}" name="REV_FY+2" dataDxfId="49" totalsRowDxfId="50"/>
    <tableColumn id="9" xr3:uid="{1EE9FA89-8B63-C243-A0D8-7605DB418C8F}" name="NPATMI_FY" dataDxfId="47" totalsRowDxfId="48"/>
    <tableColumn id="10" xr3:uid="{D1ACDF13-21A3-2145-A9A5-2B69FC5212BF}" name="NPATMI_FY+1" dataDxfId="45" totalsRowDxfId="46"/>
    <tableColumn id="20" xr3:uid="{67ED6A6C-9660-0747-9966-7E9A383007A0}" name="NPATMI_FY+2" dataDxfId="43" totalsRowDxfId="44"/>
    <tableColumn id="12" xr3:uid="{ADCF37B5-27D4-6C4A-86E8-63FBF1944927}" name="EPS_FY" dataDxfId="41" totalsRowDxfId="42"/>
    <tableColumn id="13" xr3:uid="{25F0D8B7-D9C0-8B46-A8DD-2596BB7F5FD4}" name="EPS_FY+1" dataDxfId="39" totalsRowDxfId="40"/>
    <tableColumn id="24" xr3:uid="{46290F8B-520E-5C42-A794-6B64DC4BABF9}" name="EPS_FY+2" dataDxfId="37" totalsRowDxfId="38"/>
    <tableColumn id="15" xr3:uid="{F117D15C-8927-2F43-9D13-45CD0B348D29}" name="BVPS_FY" dataDxfId="35" totalsRowDxfId="36"/>
    <tableColumn id="16" xr3:uid="{5DE5E109-0F76-B444-938A-95A4BF39AC2C}" name="BVPS_FY+1" dataDxfId="33" totalsRowDxfId="34"/>
    <tableColumn id="25" xr3:uid="{CACCDA61-A8A2-C049-BEDA-6C4C2AB0D26C}" name="BVPS_FY+2" dataDxfId="31" totalsRowDxfId="32"/>
    <tableColumn id="18" xr3:uid="{862EAB06-C74F-E145-9BAE-458DDACAF0A1}" name="ROA_FY" dataDxfId="29" totalsRowDxfId="30"/>
    <tableColumn id="19" xr3:uid="{1455F9A2-9857-0643-B352-B4F094A88BD1}" name="ROA_FY+1" dataDxfId="27" totalsRowDxfId="28"/>
    <tableColumn id="26" xr3:uid="{4CE3C5B8-6089-DF4D-92E7-8F04196D143B}" name="ROA_FY+2" dataDxfId="25" totalsRowDxfId="26"/>
    <tableColumn id="21" xr3:uid="{FA11041A-8C3D-004C-8A27-70DDA6E16BD2}" name="ROE_FY" dataDxfId="23" totalsRowDxfId="24"/>
    <tableColumn id="22" xr3:uid="{32466B50-4918-3346-95D4-6EFAB6BC1E46}" name="ROE_FY+1" dataDxfId="21" totalsRowDxfId="22"/>
    <tableColumn id="27" xr3:uid="{996475FB-8E42-7F45-A70A-F11D493E3C3E}" name="ROE_FY+2" dataDxfId="19" totalsRowDxfId="20"/>
    <tableColumn id="23" xr3:uid="{5600EA18-C4C5-F94E-8435-351490FE8D79}" name="Forecast Y/N" dataDxfId="17" totalsRowDxfId="18">
      <calculatedColumnFormula>IF(OR(COUNTBLANK(A_Entry_Forecast[[#This Row],[REV_FY]])&lt;&gt;0,COUNTBLANK(A_Entry_Forecast[[#This Row],[REV_FY+1]])&lt;&gt;0),"N","Y")</calculatedColumnFormula>
    </tableColumn>
    <tableColumn id="8" xr3:uid="{16261DF3-0554-D845-ACEF-8C8C2D803D5A}" name="EBITDA_FY" dataDxfId="15" totalsRowDxfId="16"/>
    <tableColumn id="11" xr3:uid="{9B966F56-A3E2-BC47-9E45-C19310F931C2}" name="EBITDA_FY+1" dataDxfId="13" totalsRowDxfId="14"/>
    <tableColumn id="28" xr3:uid="{8BF36228-A857-4C42-BD9B-1A97193725F7}" name="EBITDA_FY+2" dataDxfId="11" totalsRowDxfId="12"/>
    <tableColumn id="14" xr3:uid="{561307C9-90E3-254F-B018-52C0FD3BA9C5}" name="NDEBT_FY" dataDxfId="9" totalsRowDxfId="10"/>
    <tableColumn id="17" xr3:uid="{C72FB4EA-8F89-AF41-86E9-B450EF9C85CF}" name="NDEBT_FY+1" totalsRowFunction="sum" dataDxfId="7" totalsRowDxfId="8"/>
    <tableColumn id="29" xr3:uid="{B8D000B8-BEA4-D543-BD13-299C4CB1A761}" name="NDEBT_FY+2" dataDxfId="5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5F33-519E-5442-B2DA-4AD1C84BF703}">
  <dimension ref="A1:CL15"/>
  <sheetViews>
    <sheetView tabSelected="1" topLeftCell="BQ1" workbookViewId="0">
      <selection activeCell="CI12" sqref="CI12"/>
    </sheetView>
  </sheetViews>
  <sheetFormatPr baseColWidth="10" defaultRowHeight="16" x14ac:dyDescent="0.2"/>
  <sheetData>
    <row r="1" spans="1:90" x14ac:dyDescent="0.2">
      <c r="A1" t="s">
        <v>169</v>
      </c>
      <c r="B1" t="s">
        <v>47</v>
      </c>
      <c r="C1" t="s">
        <v>50</v>
      </c>
      <c r="D1" t="s">
        <v>51</v>
      </c>
      <c r="E1" t="s">
        <v>53</v>
      </c>
      <c r="F1" t="s">
        <v>52</v>
      </c>
      <c r="G1" t="s">
        <v>54</v>
      </c>
      <c r="H1" t="s">
        <v>56</v>
      </c>
      <c r="I1" t="s">
        <v>49</v>
      </c>
      <c r="J1" t="s">
        <v>59</v>
      </c>
      <c r="K1" t="s">
        <v>57</v>
      </c>
      <c r="L1" t="s">
        <v>61</v>
      </c>
      <c r="M1" t="s">
        <v>62</v>
      </c>
      <c r="N1" t="s">
        <v>63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72</v>
      </c>
      <c r="V1" t="s">
        <v>77</v>
      </c>
      <c r="W1" t="s">
        <v>79</v>
      </c>
      <c r="X1" t="s">
        <v>81</v>
      </c>
      <c r="Y1" t="s">
        <v>83</v>
      </c>
      <c r="Z1" t="s">
        <v>85</v>
      </c>
      <c r="AA1" t="s">
        <v>86</v>
      </c>
      <c r="AB1" t="s">
        <v>89</v>
      </c>
      <c r="AC1" t="s">
        <v>90</v>
      </c>
      <c r="AD1" t="s">
        <v>92</v>
      </c>
      <c r="AE1" t="s">
        <v>93</v>
      </c>
      <c r="AF1" t="s">
        <v>94</v>
      </c>
      <c r="AG1" t="s">
        <v>95</v>
      </c>
      <c r="AH1" t="s">
        <v>98</v>
      </c>
      <c r="AI1" t="s">
        <v>78</v>
      </c>
      <c r="AJ1" t="s">
        <v>101</v>
      </c>
      <c r="AK1" t="s">
        <v>106</v>
      </c>
      <c r="AL1" t="s">
        <v>100</v>
      </c>
      <c r="AM1" t="s">
        <v>103</v>
      </c>
      <c r="AN1" t="s">
        <v>109</v>
      </c>
      <c r="AO1" t="s">
        <v>105</v>
      </c>
      <c r="AP1" t="s">
        <v>112</v>
      </c>
      <c r="AQ1" t="s">
        <v>64</v>
      </c>
      <c r="AR1" t="s">
        <v>82</v>
      </c>
      <c r="AS1" t="s">
        <v>73</v>
      </c>
      <c r="AT1" t="s">
        <v>108</v>
      </c>
      <c r="AU1" t="s">
        <v>110</v>
      </c>
      <c r="AV1" t="s">
        <v>125</v>
      </c>
      <c r="AW1" t="s">
        <v>111</v>
      </c>
      <c r="AX1" t="s">
        <v>107</v>
      </c>
      <c r="AY1" t="s">
        <v>117</v>
      </c>
      <c r="AZ1" t="s">
        <v>119</v>
      </c>
      <c r="BA1" t="s">
        <v>130</v>
      </c>
      <c r="BB1" t="s">
        <v>123</v>
      </c>
      <c r="BC1" t="s">
        <v>131</v>
      </c>
      <c r="BD1" t="s">
        <v>84</v>
      </c>
      <c r="BE1" t="s">
        <v>87</v>
      </c>
      <c r="BF1" t="s">
        <v>136</v>
      </c>
      <c r="BG1" t="s">
        <v>139</v>
      </c>
      <c r="BH1" t="s">
        <v>126</v>
      </c>
      <c r="BI1" t="s">
        <v>128</v>
      </c>
      <c r="BJ1" t="s">
        <v>141</v>
      </c>
      <c r="BK1" t="s">
        <v>142</v>
      </c>
      <c r="BL1" t="s">
        <v>124</v>
      </c>
      <c r="BM1" t="s">
        <v>145</v>
      </c>
      <c r="BN1" t="s">
        <v>132</v>
      </c>
      <c r="BO1" t="s">
        <v>133</v>
      </c>
      <c r="BP1" t="s">
        <v>113</v>
      </c>
      <c r="BQ1" t="s">
        <v>114</v>
      </c>
      <c r="BR1" t="s">
        <v>134</v>
      </c>
      <c r="BS1" t="s">
        <v>135</v>
      </c>
      <c r="BT1" t="s">
        <v>146</v>
      </c>
      <c r="BU1" t="s">
        <v>154</v>
      </c>
      <c r="BV1" t="s">
        <v>156</v>
      </c>
      <c r="BW1" t="s">
        <v>157</v>
      </c>
      <c r="BX1" t="s">
        <v>149</v>
      </c>
      <c r="BY1" t="s">
        <v>150</v>
      </c>
      <c r="BZ1" t="s">
        <v>151</v>
      </c>
      <c r="CA1" t="s">
        <v>152</v>
      </c>
      <c r="CB1" t="s">
        <v>155</v>
      </c>
      <c r="CC1" t="s">
        <v>147</v>
      </c>
      <c r="CD1" t="s">
        <v>162</v>
      </c>
      <c r="CE1" t="s">
        <v>140</v>
      </c>
      <c r="CF1" t="s">
        <v>163</v>
      </c>
      <c r="CG1" t="s">
        <v>127</v>
      </c>
      <c r="CH1" t="s">
        <v>161</v>
      </c>
      <c r="CI1" t="s">
        <v>158</v>
      </c>
      <c r="CJ1" t="s">
        <v>165</v>
      </c>
      <c r="CK1" t="s">
        <v>167</v>
      </c>
      <c r="CL1" t="s">
        <v>168</v>
      </c>
    </row>
    <row r="2" spans="1:90" x14ac:dyDescent="0.2">
      <c r="A2" t="s">
        <v>15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60</v>
      </c>
      <c r="K2" t="s">
        <v>60</v>
      </c>
      <c r="L2" t="s">
        <v>60</v>
      </c>
      <c r="M2" t="s">
        <v>48</v>
      </c>
      <c r="N2" t="s">
        <v>60</v>
      </c>
      <c r="O2" t="s">
        <v>60</v>
      </c>
      <c r="P2" t="s">
        <v>60</v>
      </c>
      <c r="Q2" t="s">
        <v>60</v>
      </c>
      <c r="R2" t="s">
        <v>48</v>
      </c>
      <c r="S2" t="s">
        <v>48</v>
      </c>
      <c r="T2" t="s">
        <v>60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60</v>
      </c>
      <c r="AC2" t="s">
        <v>75</v>
      </c>
      <c r="AD2" t="s">
        <v>60</v>
      </c>
      <c r="AE2" t="s">
        <v>48</v>
      </c>
      <c r="AF2" t="s">
        <v>75</v>
      </c>
      <c r="AG2" t="s">
        <v>60</v>
      </c>
      <c r="AH2" t="s">
        <v>75</v>
      </c>
      <c r="AI2" t="s">
        <v>60</v>
      </c>
      <c r="AJ2" t="s">
        <v>60</v>
      </c>
      <c r="AK2" t="s">
        <v>60</v>
      </c>
      <c r="AL2" t="s">
        <v>48</v>
      </c>
      <c r="AM2" t="s">
        <v>60</v>
      </c>
      <c r="AN2" t="s">
        <v>48</v>
      </c>
      <c r="AO2" t="s">
        <v>60</v>
      </c>
      <c r="AP2" t="s">
        <v>60</v>
      </c>
      <c r="AQ2" t="s">
        <v>60</v>
      </c>
      <c r="AR2" t="s">
        <v>48</v>
      </c>
      <c r="AS2" t="s">
        <v>60</v>
      </c>
      <c r="AT2" t="s">
        <v>60</v>
      </c>
      <c r="AU2" t="s">
        <v>48</v>
      </c>
      <c r="AV2" t="s">
        <v>48</v>
      </c>
      <c r="AW2" t="s">
        <v>60</v>
      </c>
      <c r="AX2" t="s">
        <v>48</v>
      </c>
      <c r="AY2" t="s">
        <v>48</v>
      </c>
      <c r="AZ2" t="s">
        <v>48</v>
      </c>
      <c r="BA2" t="s">
        <v>60</v>
      </c>
      <c r="BB2" t="s">
        <v>60</v>
      </c>
      <c r="BC2" t="s">
        <v>60</v>
      </c>
      <c r="BD2" t="s">
        <v>48</v>
      </c>
      <c r="BE2" t="s">
        <v>48</v>
      </c>
      <c r="BF2" t="s">
        <v>48</v>
      </c>
      <c r="BG2" t="s">
        <v>48</v>
      </c>
      <c r="BH2" t="s">
        <v>60</v>
      </c>
      <c r="BI2" t="s">
        <v>60</v>
      </c>
      <c r="BJ2" t="s">
        <v>60</v>
      </c>
      <c r="BK2" t="s">
        <v>48</v>
      </c>
      <c r="BL2" t="s">
        <v>60</v>
      </c>
      <c r="BM2" t="s">
        <v>75</v>
      </c>
      <c r="BN2" t="s">
        <v>48</v>
      </c>
      <c r="BO2" t="s">
        <v>60</v>
      </c>
      <c r="BP2" t="s">
        <v>48</v>
      </c>
      <c r="BQ2" t="s">
        <v>48</v>
      </c>
      <c r="BR2" t="s">
        <v>48</v>
      </c>
      <c r="BS2" t="s">
        <v>60</v>
      </c>
      <c r="BT2" t="s">
        <v>48</v>
      </c>
      <c r="BU2" t="s">
        <v>48</v>
      </c>
      <c r="BV2" t="s">
        <v>48</v>
      </c>
      <c r="BW2" t="s">
        <v>60</v>
      </c>
      <c r="BX2" t="s">
        <v>48</v>
      </c>
      <c r="BY2" t="s">
        <v>60</v>
      </c>
      <c r="BZ2" t="s">
        <v>60</v>
      </c>
      <c r="CA2" t="s">
        <v>60</v>
      </c>
      <c r="CB2" t="s">
        <v>60</v>
      </c>
      <c r="CC2" t="s">
        <v>48</v>
      </c>
      <c r="CD2" t="s">
        <v>48</v>
      </c>
      <c r="CE2" t="s">
        <v>60</v>
      </c>
      <c r="CF2" t="s">
        <v>48</v>
      </c>
      <c r="CG2" t="s">
        <v>48</v>
      </c>
      <c r="CH2" t="s">
        <v>48</v>
      </c>
      <c r="CI2" t="s">
        <v>60</v>
      </c>
      <c r="CJ2" t="s">
        <v>48</v>
      </c>
      <c r="CK2" t="s">
        <v>48</v>
      </c>
      <c r="CL2" t="s">
        <v>75</v>
      </c>
    </row>
    <row r="3" spans="1:90" x14ac:dyDescent="0.2">
      <c r="A3" t="s">
        <v>170</v>
      </c>
      <c r="B3" s="187">
        <v>45000</v>
      </c>
      <c r="C3" s="187">
        <v>52500</v>
      </c>
      <c r="D3" s="187">
        <v>76000</v>
      </c>
      <c r="E3" s="187">
        <v>31000</v>
      </c>
      <c r="F3" s="187">
        <v>33000</v>
      </c>
      <c r="G3" s="187">
        <v>42000</v>
      </c>
      <c r="H3" s="187">
        <v>27000</v>
      </c>
      <c r="I3" s="187">
        <v>26400</v>
      </c>
      <c r="J3" s="187">
        <v>14000</v>
      </c>
      <c r="K3" s="187">
        <v>49000</v>
      </c>
      <c r="L3" s="187">
        <v>15500</v>
      </c>
      <c r="M3" s="187">
        <v>22200</v>
      </c>
      <c r="N3" s="187">
        <v>25200</v>
      </c>
      <c r="O3" s="187">
        <v>19500</v>
      </c>
      <c r="P3" s="187">
        <v>13900</v>
      </c>
      <c r="Q3" s="187">
        <v>20100</v>
      </c>
      <c r="R3" s="187">
        <v>31200</v>
      </c>
      <c r="S3" s="187">
        <v>28000</v>
      </c>
      <c r="T3" s="187">
        <v>42500</v>
      </c>
      <c r="U3" s="187">
        <v>21900</v>
      </c>
      <c r="V3" s="187">
        <v>39900</v>
      </c>
      <c r="W3" s="187">
        <v>44400</v>
      </c>
      <c r="X3" s="187">
        <v>23600</v>
      </c>
      <c r="Y3" s="187">
        <v>92500</v>
      </c>
      <c r="Z3" s="187">
        <v>31500</v>
      </c>
      <c r="AA3" s="187">
        <v>53000</v>
      </c>
      <c r="AB3" s="187">
        <v>65300</v>
      </c>
      <c r="AC3" s="187">
        <v>47300</v>
      </c>
      <c r="AD3" s="187">
        <v>64800</v>
      </c>
      <c r="AE3" s="187">
        <v>45000</v>
      </c>
      <c r="AF3" s="187">
        <v>0</v>
      </c>
      <c r="AG3" s="187">
        <v>49700</v>
      </c>
      <c r="AH3" s="187">
        <v>35000</v>
      </c>
      <c r="AI3" s="187">
        <v>0</v>
      </c>
      <c r="AJ3" s="187">
        <v>109300</v>
      </c>
      <c r="AK3" s="187">
        <v>0</v>
      </c>
      <c r="AL3" s="187">
        <v>47300</v>
      </c>
      <c r="AM3" s="187">
        <v>30500</v>
      </c>
      <c r="AN3" s="187">
        <v>38200</v>
      </c>
      <c r="AO3" s="187">
        <v>0</v>
      </c>
      <c r="AP3" s="187">
        <v>13500</v>
      </c>
      <c r="AQ3" s="187">
        <v>20100</v>
      </c>
      <c r="AR3" s="187">
        <v>23700</v>
      </c>
      <c r="AS3" s="187">
        <v>35100</v>
      </c>
      <c r="AT3" s="187">
        <v>42100</v>
      </c>
      <c r="AU3" s="187">
        <v>35100</v>
      </c>
      <c r="AV3" s="187">
        <v>33100</v>
      </c>
      <c r="AW3" s="187">
        <v>25300</v>
      </c>
      <c r="AX3" s="187">
        <v>12900</v>
      </c>
      <c r="AY3" s="187">
        <v>26700</v>
      </c>
      <c r="AZ3" s="187">
        <v>17700</v>
      </c>
      <c r="BA3" s="187">
        <v>67300</v>
      </c>
      <c r="BB3" s="187">
        <v>41500</v>
      </c>
      <c r="BC3" s="187">
        <v>46100</v>
      </c>
      <c r="BD3" s="187">
        <v>38600</v>
      </c>
      <c r="BE3" s="187">
        <v>80200</v>
      </c>
      <c r="BF3" s="187">
        <v>38700</v>
      </c>
      <c r="BG3" s="187">
        <v>32300</v>
      </c>
      <c r="BH3" s="187">
        <v>19900</v>
      </c>
      <c r="BI3" s="187">
        <v>14400</v>
      </c>
      <c r="BJ3" s="187">
        <v>66000</v>
      </c>
      <c r="BK3" s="187">
        <v>96200</v>
      </c>
      <c r="BL3" s="187">
        <v>151200</v>
      </c>
      <c r="BM3" s="187">
        <v>0</v>
      </c>
      <c r="BN3" s="187">
        <v>32200</v>
      </c>
      <c r="BO3" s="187">
        <v>52900</v>
      </c>
      <c r="BP3" s="187">
        <v>171300</v>
      </c>
      <c r="BQ3" s="187">
        <v>92700</v>
      </c>
      <c r="BR3" s="187">
        <v>84700</v>
      </c>
      <c r="BS3" s="187">
        <v>83000</v>
      </c>
      <c r="BT3" s="187">
        <v>64600</v>
      </c>
      <c r="BU3" s="187">
        <v>61700</v>
      </c>
      <c r="BV3" s="187">
        <v>36000</v>
      </c>
      <c r="BW3" s="187">
        <v>111000</v>
      </c>
      <c r="BX3" s="187">
        <v>28000</v>
      </c>
      <c r="BY3" s="187">
        <v>118700</v>
      </c>
      <c r="BZ3" s="187">
        <v>50600</v>
      </c>
      <c r="CA3" s="187">
        <v>23900</v>
      </c>
      <c r="CB3" s="187">
        <v>60000</v>
      </c>
      <c r="CC3" s="187">
        <v>39000</v>
      </c>
      <c r="CD3" s="187">
        <v>62706</v>
      </c>
      <c r="CE3" s="187">
        <v>19100</v>
      </c>
      <c r="CF3" s="187">
        <v>74900</v>
      </c>
      <c r="CG3" s="187">
        <v>14300</v>
      </c>
      <c r="CH3" s="187">
        <v>11500</v>
      </c>
      <c r="CI3" s="187">
        <v>9600</v>
      </c>
      <c r="CJ3" s="187">
        <v>15600</v>
      </c>
      <c r="CK3" s="187">
        <v>26100</v>
      </c>
      <c r="CL3" s="187">
        <v>22400</v>
      </c>
    </row>
    <row r="4" spans="1:90" x14ac:dyDescent="0.2">
      <c r="A4" t="s">
        <v>173</v>
      </c>
      <c r="B4" s="187">
        <v>86855.1000744255</v>
      </c>
      <c r="C4" s="187">
        <v>92204.892055687786</v>
      </c>
      <c r="D4" s="187">
        <v>74171.353631118312</v>
      </c>
      <c r="E4" s="187">
        <v>40259.70048167809</v>
      </c>
      <c r="F4" s="187">
        <v>65788.201216608155</v>
      </c>
      <c r="G4" s="187">
        <v>54304.020590139357</v>
      </c>
      <c r="H4" s="187">
        <v>70386.133443821134</v>
      </c>
      <c r="I4" s="187">
        <v>37297.511763940369</v>
      </c>
      <c r="J4" s="187">
        <v>15880.373570939968</v>
      </c>
      <c r="K4" s="187">
        <v>32623.843639521987</v>
      </c>
      <c r="L4" s="187">
        <v>19423.167839243109</v>
      </c>
      <c r="M4" s="187">
        <v>22804.392096362135</v>
      </c>
      <c r="N4" s="187">
        <v>9980.2663634936544</v>
      </c>
      <c r="O4" s="187">
        <v>10350.989938024471</v>
      </c>
      <c r="P4" s="187">
        <v>11346.648089777505</v>
      </c>
      <c r="Q4" s="187">
        <v>29629.842710464036</v>
      </c>
      <c r="R4" s="187">
        <v>9571</v>
      </c>
      <c r="S4" s="187">
        <v>4864.38</v>
      </c>
      <c r="T4" s="187">
        <v>4472</v>
      </c>
      <c r="U4" s="187">
        <v>3146.8478812681124</v>
      </c>
      <c r="V4" s="187">
        <v>4540</v>
      </c>
      <c r="W4" s="187">
        <v>7061</v>
      </c>
      <c r="X4" s="187">
        <v>4474</v>
      </c>
      <c r="Y4" s="187">
        <v>125810</v>
      </c>
      <c r="Z4" s="187">
        <v>9218.1677751170118</v>
      </c>
      <c r="AA4" s="187">
        <v>4596</v>
      </c>
      <c r="AB4" s="187">
        <v>7351.7871247515995</v>
      </c>
      <c r="AC4" s="187">
        <v>622</v>
      </c>
      <c r="AD4" s="187">
        <v>1645.8421836797606</v>
      </c>
      <c r="AE4" s="187">
        <v>1670.267642211765</v>
      </c>
      <c r="AF4" s="187">
        <v>7479.2022538636929</v>
      </c>
      <c r="AG4" s="187">
        <v>1334.8684576561359</v>
      </c>
      <c r="AH4" s="187">
        <v>5949.2775622157023</v>
      </c>
      <c r="AI4" s="187">
        <v>7261.0114690127275</v>
      </c>
      <c r="AJ4" s="187">
        <v>10871.373932047447</v>
      </c>
      <c r="AK4" s="187">
        <v>1987</v>
      </c>
      <c r="AL4" s="187">
        <v>19929.562453470611</v>
      </c>
      <c r="AM4" s="187">
        <v>17284.032394785325</v>
      </c>
      <c r="AN4" s="187">
        <v>5696.7888594376118</v>
      </c>
      <c r="AO4" s="187">
        <v>4803.5805010472104</v>
      </c>
      <c r="AP4" s="187">
        <v>4799.7847995798884</v>
      </c>
      <c r="AQ4" s="187">
        <v>109209</v>
      </c>
      <c r="AR4" s="187">
        <v>8963</v>
      </c>
      <c r="AS4" s="187">
        <v>38136.902599425543</v>
      </c>
      <c r="AT4" s="187">
        <v>4262.7199024334495</v>
      </c>
      <c r="AU4" s="187">
        <v>3624.3447600920845</v>
      </c>
      <c r="AV4" s="187">
        <v>3200.359629851157</v>
      </c>
      <c r="AW4" s="187">
        <v>7381.225859107456</v>
      </c>
      <c r="AX4" s="187">
        <v>12106.809923948334</v>
      </c>
      <c r="AY4" s="187">
        <v>12788.225490566039</v>
      </c>
      <c r="AZ4" s="187">
        <v>41988.326090667339</v>
      </c>
      <c r="BA4" s="187">
        <v>10132.351062660471</v>
      </c>
      <c r="BB4" s="187">
        <v>4321.0147138397879</v>
      </c>
      <c r="BC4" s="187">
        <v>12419.734485362647</v>
      </c>
      <c r="BD4" s="187">
        <v>36151</v>
      </c>
      <c r="BE4" s="187">
        <v>108710</v>
      </c>
      <c r="BF4" s="187">
        <v>480</v>
      </c>
      <c r="BG4" s="187">
        <v>173016.06856444062</v>
      </c>
      <c r="BH4" s="187">
        <v>37911.722685378576</v>
      </c>
      <c r="BI4" s="187">
        <v>16996.154601796028</v>
      </c>
      <c r="BJ4" s="187">
        <v>6448.4827485242995</v>
      </c>
      <c r="BK4" s="187">
        <v>24866.699280000001</v>
      </c>
      <c r="BL4" s="187">
        <v>5654.2080000000005</v>
      </c>
      <c r="BM4" s="187">
        <v>4962</v>
      </c>
      <c r="BN4" s="187">
        <v>15152</v>
      </c>
      <c r="BO4" s="187">
        <v>24678</v>
      </c>
      <c r="BP4" s="187">
        <v>49315</v>
      </c>
      <c r="BQ4" s="187">
        <v>79506</v>
      </c>
      <c r="BR4" s="187">
        <v>153559</v>
      </c>
      <c r="BS4" s="187">
        <v>31700</v>
      </c>
      <c r="BT4" s="187">
        <v>63188</v>
      </c>
      <c r="BU4" s="187">
        <v>4727</v>
      </c>
      <c r="BV4" s="187">
        <v>5928</v>
      </c>
      <c r="BW4" s="187">
        <v>13957</v>
      </c>
      <c r="BX4" s="187">
        <v>1658</v>
      </c>
      <c r="BY4" s="187">
        <v>73267</v>
      </c>
      <c r="BZ4" s="187">
        <v>5838</v>
      </c>
      <c r="CA4" s="187">
        <v>8350</v>
      </c>
      <c r="CB4" s="187">
        <v>12518</v>
      </c>
      <c r="CC4" s="187">
        <v>118364</v>
      </c>
      <c r="CD4" s="187">
        <v>7123</v>
      </c>
      <c r="CE4" s="187">
        <v>13352</v>
      </c>
      <c r="CF4" s="187">
        <v>5166</v>
      </c>
      <c r="CG4" s="187">
        <v>7189</v>
      </c>
      <c r="CH4" s="187">
        <v>3219</v>
      </c>
      <c r="CI4" s="187">
        <v>3288</v>
      </c>
      <c r="CJ4" s="187">
        <v>3494.3677159999997</v>
      </c>
      <c r="CK4" s="187">
        <v>14635</v>
      </c>
      <c r="CL4" s="187">
        <v>3963</v>
      </c>
    </row>
    <row r="5" spans="1:90" x14ac:dyDescent="0.2">
      <c r="A5" t="s">
        <v>172</v>
      </c>
      <c r="B5" s="187">
        <v>100748.4301860783</v>
      </c>
      <c r="C5" s="187">
        <v>105994.33021209858</v>
      </c>
      <c r="D5" s="187">
        <v>85650.801557819068</v>
      </c>
      <c r="E5" s="187">
        <v>49782.049538912863</v>
      </c>
      <c r="F5" s="187">
        <v>82056.214269834163</v>
      </c>
      <c r="G5" s="187">
        <v>65366.619824835652</v>
      </c>
      <c r="H5" s="187">
        <v>83310.406106069961</v>
      </c>
      <c r="I5" s="187">
        <v>42675.060638137933</v>
      </c>
      <c r="J5" s="187">
        <v>18011.716757158676</v>
      </c>
      <c r="K5" s="187">
        <v>37000.293942201752</v>
      </c>
      <c r="L5" s="187">
        <v>21759.822169529532</v>
      </c>
      <c r="M5" s="187">
        <v>26838.704256264256</v>
      </c>
      <c r="N5" s="187">
        <v>11529.371305199526</v>
      </c>
      <c r="O5" s="187">
        <v>11753.209268865779</v>
      </c>
      <c r="P5" s="187">
        <v>13116.430593131912</v>
      </c>
      <c r="Q5" s="187">
        <v>35349.625088400826</v>
      </c>
      <c r="R5" s="187">
        <v>10815</v>
      </c>
      <c r="S5" s="187">
        <v>5788.61</v>
      </c>
      <c r="T5" s="187">
        <v>5321.68</v>
      </c>
      <c r="U5" s="187">
        <v>18030.777283141939</v>
      </c>
      <c r="V5" s="187">
        <v>4637</v>
      </c>
      <c r="W5" s="187">
        <v>8518</v>
      </c>
      <c r="X5" s="187">
        <v>6101</v>
      </c>
      <c r="Y5" s="187">
        <v>115136</v>
      </c>
      <c r="Z5" s="187">
        <v>10941</v>
      </c>
      <c r="AA5" s="187">
        <v>5253</v>
      </c>
      <c r="AB5" s="187">
        <v>7572.3407384941484</v>
      </c>
      <c r="AC5" s="187">
        <v>0</v>
      </c>
      <c r="AD5" s="187">
        <v>1834.8719088742237</v>
      </c>
      <c r="AE5" s="187">
        <v>1743.6865743087064</v>
      </c>
      <c r="AF5" s="187">
        <v>7703.5783214796038</v>
      </c>
      <c r="AG5" s="187">
        <v>1385.4156306257808</v>
      </c>
      <c r="AH5" s="187">
        <v>14924.701261901178</v>
      </c>
      <c r="AI5" s="187">
        <v>7392.4131101836292</v>
      </c>
      <c r="AJ5" s="187">
        <v>12202.870629013851</v>
      </c>
      <c r="AK5" s="187">
        <v>2086.35</v>
      </c>
      <c r="AL5" s="187">
        <v>19723.883442954269</v>
      </c>
      <c r="AM5" s="187">
        <v>17273.083730079179</v>
      </c>
      <c r="AN5" s="187">
        <v>5141.5633260364193</v>
      </c>
      <c r="AO5" s="187">
        <v>5052.3285947947443</v>
      </c>
      <c r="AP5" s="187">
        <v>4903.4517347645533</v>
      </c>
      <c r="AQ5" s="187">
        <v>140582</v>
      </c>
      <c r="AR5" s="187">
        <v>9983</v>
      </c>
      <c r="AS5" s="187">
        <v>38892.552281647295</v>
      </c>
      <c r="AT5" s="187">
        <v>4555.3088130434135</v>
      </c>
      <c r="AU5" s="187">
        <v>3714.0386593794428</v>
      </c>
      <c r="AV5" s="187">
        <v>3675.3972413758484</v>
      </c>
      <c r="AW5" s="187">
        <v>7559.6851076890307</v>
      </c>
      <c r="AX5" s="187">
        <v>12129.312529156197</v>
      </c>
      <c r="AY5" s="187">
        <v>14525.776793238754</v>
      </c>
      <c r="AZ5" s="187">
        <v>60550.12507891313</v>
      </c>
      <c r="BA5" s="187">
        <v>12098.9989829144</v>
      </c>
      <c r="BB5" s="187">
        <v>4387.8945207207807</v>
      </c>
      <c r="BC5" s="187">
        <v>12210.714048534817</v>
      </c>
      <c r="BD5" s="187">
        <v>43138</v>
      </c>
      <c r="BE5" s="187">
        <v>119613</v>
      </c>
      <c r="BF5" s="187">
        <v>1510</v>
      </c>
      <c r="BG5" s="187">
        <v>217293.39469760348</v>
      </c>
      <c r="BH5" s="187">
        <v>39852.354629288704</v>
      </c>
      <c r="BI5" s="187">
        <v>29707.73641899545</v>
      </c>
      <c r="BJ5" s="187">
        <v>7093.3310233767306</v>
      </c>
      <c r="BK5" s="187">
        <v>29750</v>
      </c>
      <c r="BL5" s="187">
        <v>5908.6473600000008</v>
      </c>
      <c r="BM5" s="187">
        <v>5537</v>
      </c>
      <c r="BN5" s="187">
        <v>16823</v>
      </c>
      <c r="BO5" s="187">
        <v>27682</v>
      </c>
      <c r="BP5" s="187">
        <v>57754</v>
      </c>
      <c r="BQ5" s="187">
        <v>86215</v>
      </c>
      <c r="BR5" s="187">
        <v>172781</v>
      </c>
      <c r="BS5" s="187">
        <v>33514</v>
      </c>
      <c r="BT5" s="187">
        <v>66202</v>
      </c>
      <c r="BU5" s="187">
        <v>5196</v>
      </c>
      <c r="BV5" s="187">
        <v>6474</v>
      </c>
      <c r="BW5" s="187">
        <v>15684</v>
      </c>
      <c r="BX5" s="187">
        <v>1744</v>
      </c>
      <c r="BY5" s="187">
        <v>86654</v>
      </c>
      <c r="BZ5" s="187">
        <v>6340</v>
      </c>
      <c r="CA5" s="187">
        <v>9177</v>
      </c>
      <c r="CB5" s="187">
        <v>14226</v>
      </c>
      <c r="CC5" s="187">
        <v>130924</v>
      </c>
      <c r="CD5" s="187">
        <v>7767</v>
      </c>
      <c r="CE5" s="187">
        <v>13545</v>
      </c>
      <c r="CF5" s="187">
        <v>5636</v>
      </c>
      <c r="CG5" s="187">
        <v>7631</v>
      </c>
      <c r="CH5" s="187">
        <v>2292</v>
      </c>
      <c r="CI5" s="187">
        <v>3376</v>
      </c>
      <c r="CJ5" s="187">
        <v>3536.5316920400001</v>
      </c>
      <c r="CK5" s="187">
        <v>17020</v>
      </c>
      <c r="CL5" s="187">
        <v>6617</v>
      </c>
    </row>
    <row r="6" spans="1:90" x14ac:dyDescent="0.2">
      <c r="A6" t="s">
        <v>171</v>
      </c>
      <c r="B6" s="187">
        <v>26773.327429672256</v>
      </c>
      <c r="C6" s="187">
        <v>29994.82138269697</v>
      </c>
      <c r="D6" s="187">
        <v>35307.008256770489</v>
      </c>
      <c r="E6" s="187">
        <v>15580.847412318082</v>
      </c>
      <c r="F6" s="187">
        <v>25355.978521644683</v>
      </c>
      <c r="G6" s="187">
        <v>24829.701018144166</v>
      </c>
      <c r="H6" s="187">
        <v>18274.46601951967</v>
      </c>
      <c r="I6" s="187">
        <v>18939.742516247694</v>
      </c>
      <c r="J6" s="187">
        <v>6436.1290613502633</v>
      </c>
      <c r="K6" s="187">
        <v>11837.216654294734</v>
      </c>
      <c r="L6" s="187">
        <v>6816.0783576752192</v>
      </c>
      <c r="M6" s="187">
        <v>8744.8515110049193</v>
      </c>
      <c r="N6" s="187">
        <v>4062.3505461573382</v>
      </c>
      <c r="O6" s="187">
        <v>4165</v>
      </c>
      <c r="P6" s="187">
        <v>3887.0188702418991</v>
      </c>
      <c r="Q6" s="187">
        <v>15995.42671920148</v>
      </c>
      <c r="R6" s="187">
        <v>3285.7649999999999</v>
      </c>
      <c r="S6" s="187">
        <v>1175.855</v>
      </c>
      <c r="T6" s="187">
        <v>1386</v>
      </c>
      <c r="U6" s="187">
        <v>223.50369845452948</v>
      </c>
      <c r="V6" s="187">
        <v>811</v>
      </c>
      <c r="W6" s="187">
        <v>634</v>
      </c>
      <c r="X6" s="187">
        <v>641</v>
      </c>
      <c r="Y6" s="187">
        <v>36602</v>
      </c>
      <c r="Z6" s="187">
        <v>4413</v>
      </c>
      <c r="AA6" s="187">
        <v>270</v>
      </c>
      <c r="AB6" s="187">
        <v>1652.9809645579228</v>
      </c>
      <c r="AC6" s="187">
        <v>260</v>
      </c>
      <c r="AD6" s="187">
        <v>540.41102370466456</v>
      </c>
      <c r="AE6" s="187">
        <v>661.77403241308718</v>
      </c>
      <c r="AF6" s="187">
        <v>1324.4626752439585</v>
      </c>
      <c r="AG6" s="187">
        <v>290.5857522201095</v>
      </c>
      <c r="AH6" s="187">
        <v>1352.2906228889965</v>
      </c>
      <c r="AI6" s="187">
        <v>118.53709546494017</v>
      </c>
      <c r="AJ6" s="187">
        <v>3488.3821931707207</v>
      </c>
      <c r="AK6" s="187">
        <v>247</v>
      </c>
      <c r="AL6" s="187">
        <v>2845.4462978918382</v>
      </c>
      <c r="AM6" s="187">
        <v>1381.3329517743355</v>
      </c>
      <c r="AN6" s="187">
        <v>485.61948028173498</v>
      </c>
      <c r="AO6" s="187">
        <v>108.71932100518143</v>
      </c>
      <c r="AP6" s="187">
        <v>73.0013394701393</v>
      </c>
      <c r="AQ6" s="187">
        <v>1196</v>
      </c>
      <c r="AR6" s="187">
        <v>710</v>
      </c>
      <c r="AS6" s="187">
        <v>1129.6702877432253</v>
      </c>
      <c r="AT6" s="187">
        <v>695.96080793746569</v>
      </c>
      <c r="AU6" s="187">
        <v>308.74048242351421</v>
      </c>
      <c r="AV6" s="187">
        <v>882.56169217931108</v>
      </c>
      <c r="AW6" s="187">
        <v>528.85739052585723</v>
      </c>
      <c r="AX6" s="187">
        <v>783.61944470488447</v>
      </c>
      <c r="AY6" s="187">
        <v>559.24020033434624</v>
      </c>
      <c r="AZ6" s="187">
        <v>1562.508631536464</v>
      </c>
      <c r="BA6" s="187">
        <v>2486.9168827239628</v>
      </c>
      <c r="BB6" s="187">
        <v>7293.4831047503503</v>
      </c>
      <c r="BC6" s="187">
        <v>1109.8260013156537</v>
      </c>
      <c r="BD6" s="187">
        <v>1177</v>
      </c>
      <c r="BE6" s="187">
        <v>13131</v>
      </c>
      <c r="BF6" s="187">
        <v>56</v>
      </c>
      <c r="BG6" s="187">
        <v>15816.642425681932</v>
      </c>
      <c r="BH6" s="187">
        <v>740.81612055842879</v>
      </c>
      <c r="BI6" s="187">
        <v>300.58268860286302</v>
      </c>
      <c r="BJ6" s="187">
        <v>957.08258793165487</v>
      </c>
      <c r="BK6" s="187">
        <v>453.83783979999998</v>
      </c>
      <c r="BL6" s="187">
        <v>1237.4429253516264</v>
      </c>
      <c r="BM6" s="187">
        <v>525</v>
      </c>
      <c r="BN6" s="187">
        <v>1643</v>
      </c>
      <c r="BO6" s="187">
        <v>530</v>
      </c>
      <c r="BP6" s="187">
        <v>610</v>
      </c>
      <c r="BQ6" s="187">
        <v>3435</v>
      </c>
      <c r="BR6" s="187">
        <v>5800</v>
      </c>
      <c r="BS6" s="187">
        <v>2074</v>
      </c>
      <c r="BT6" s="187">
        <v>9144</v>
      </c>
      <c r="BU6" s="187">
        <v>774</v>
      </c>
      <c r="BV6" s="187">
        <v>955</v>
      </c>
      <c r="BW6" s="187">
        <v>566</v>
      </c>
      <c r="BX6" s="187">
        <v>143</v>
      </c>
      <c r="BY6" s="187">
        <v>9332</v>
      </c>
      <c r="BZ6" s="187">
        <v>440</v>
      </c>
      <c r="CA6" s="187">
        <v>342</v>
      </c>
      <c r="CB6" s="187">
        <v>1250</v>
      </c>
      <c r="CC6" s="187">
        <v>8956</v>
      </c>
      <c r="CD6" s="187">
        <v>524</v>
      </c>
      <c r="CE6" s="187">
        <v>1071</v>
      </c>
      <c r="CF6" s="187">
        <v>1452</v>
      </c>
      <c r="CG6" s="187">
        <v>216</v>
      </c>
      <c r="CH6" s="187">
        <v>153</v>
      </c>
      <c r="CI6" s="187">
        <v>203</v>
      </c>
      <c r="CJ6" s="187">
        <v>497.6223058279445</v>
      </c>
      <c r="CK6" s="187">
        <v>885</v>
      </c>
      <c r="CL6" s="187">
        <v>997</v>
      </c>
    </row>
    <row r="7" spans="1:90" x14ac:dyDescent="0.2">
      <c r="A7" t="s">
        <v>174</v>
      </c>
      <c r="B7" s="187">
        <v>31143.589696173218</v>
      </c>
      <c r="C7" s="187">
        <v>36534.266869857085</v>
      </c>
      <c r="D7" s="187">
        <v>41707.745964231573</v>
      </c>
      <c r="E7" s="187">
        <v>19865.032604090389</v>
      </c>
      <c r="F7" s="187">
        <v>30675.761793325299</v>
      </c>
      <c r="G7" s="187">
        <v>30000.567467818026</v>
      </c>
      <c r="H7" s="187">
        <v>21970.000508621073</v>
      </c>
      <c r="I7" s="187">
        <v>21965.659967010004</v>
      </c>
      <c r="J7" s="187">
        <v>7496.3334247800158</v>
      </c>
      <c r="K7" s="187">
        <v>13648.491479486198</v>
      </c>
      <c r="L7" s="187">
        <v>7932.9675332450806</v>
      </c>
      <c r="M7" s="187">
        <v>10812.779170868323</v>
      </c>
      <c r="N7" s="187">
        <v>4734.751873124429</v>
      </c>
      <c r="O7" s="187">
        <v>4715.6641083856694</v>
      </c>
      <c r="P7" s="187">
        <v>4501.5981394156097</v>
      </c>
      <c r="Q7" s="187">
        <v>19408.209153527452</v>
      </c>
      <c r="R7" s="187">
        <v>3791.77</v>
      </c>
      <c r="S7" s="187">
        <v>1376.9267</v>
      </c>
      <c r="T7" s="187">
        <v>1630</v>
      </c>
      <c r="U7" s="187">
        <v>2673.3262392883389</v>
      </c>
      <c r="V7" s="187">
        <v>1003</v>
      </c>
      <c r="W7" s="187">
        <v>1200</v>
      </c>
      <c r="X7" s="187">
        <v>1410</v>
      </c>
      <c r="Y7" s="187">
        <v>39843</v>
      </c>
      <c r="Z7" s="187">
        <v>5355</v>
      </c>
      <c r="AA7" s="187">
        <v>376</v>
      </c>
      <c r="AB7" s="187">
        <v>1891.729750776145</v>
      </c>
      <c r="AC7" s="187">
        <v>0</v>
      </c>
      <c r="AD7" s="187">
        <v>576.01554373305305</v>
      </c>
      <c r="AE7" s="187">
        <v>759.69736029001979</v>
      </c>
      <c r="AF7" s="187">
        <v>1348.1640300066001</v>
      </c>
      <c r="AG7" s="187">
        <v>317.98512398428994</v>
      </c>
      <c r="AH7" s="187">
        <v>5371.3018067428857</v>
      </c>
      <c r="AI7" s="187">
        <v>125.51367121773778</v>
      </c>
      <c r="AJ7" s="187">
        <v>3865.0379510536109</v>
      </c>
      <c r="AK7" s="187">
        <v>266.76</v>
      </c>
      <c r="AL7" s="187">
        <v>2621.1106235058301</v>
      </c>
      <c r="AM7" s="187">
        <v>1120.5364017654022</v>
      </c>
      <c r="AN7" s="187">
        <v>476.58296242536142</v>
      </c>
      <c r="AO7" s="187">
        <v>191.47113034512353</v>
      </c>
      <c r="AP7" s="187">
        <v>93.426249808799099</v>
      </c>
      <c r="AQ7" s="187">
        <v>1293</v>
      </c>
      <c r="AR7" s="187">
        <v>883</v>
      </c>
      <c r="AS7" s="187">
        <v>1292.1494091395884</v>
      </c>
      <c r="AT7" s="187">
        <v>884</v>
      </c>
      <c r="AU7" s="187">
        <v>322.13147505375406</v>
      </c>
      <c r="AV7" s="187">
        <v>1337.7359942528583</v>
      </c>
      <c r="AW7" s="187">
        <v>724.74410845643024</v>
      </c>
      <c r="AX7" s="187">
        <v>724.08521805342389</v>
      </c>
      <c r="AY7" s="187">
        <v>1157.3367954407452</v>
      </c>
      <c r="AZ7" s="187">
        <v>2122.3377766318963</v>
      </c>
      <c r="BA7" s="187">
        <v>3043</v>
      </c>
      <c r="BB7" s="187">
        <v>7444.5010130509536</v>
      </c>
      <c r="BC7" s="187">
        <v>1068.2900394628464</v>
      </c>
      <c r="BD7" s="187">
        <v>1061</v>
      </c>
      <c r="BE7" s="187">
        <v>12278</v>
      </c>
      <c r="BF7" s="187">
        <v>163</v>
      </c>
      <c r="BG7" s="187">
        <v>22693.427169644921</v>
      </c>
      <c r="BH7" s="187">
        <v>705.1480294020655</v>
      </c>
      <c r="BI7" s="187">
        <v>256.00340901672286</v>
      </c>
      <c r="BJ7" s="187">
        <v>1070.9820305174876</v>
      </c>
      <c r="BK7" s="187">
        <v>433.18357260815606</v>
      </c>
      <c r="BL7" s="187">
        <v>1126.2410899606955</v>
      </c>
      <c r="BM7" s="187">
        <v>561</v>
      </c>
      <c r="BN7" s="187">
        <v>1763</v>
      </c>
      <c r="BO7" s="187">
        <v>644</v>
      </c>
      <c r="BP7" s="187">
        <v>865</v>
      </c>
      <c r="BQ7" s="187">
        <v>4216</v>
      </c>
      <c r="BR7" s="187">
        <v>6841</v>
      </c>
      <c r="BS7" s="187">
        <v>2229</v>
      </c>
      <c r="BT7" s="187">
        <v>9597</v>
      </c>
      <c r="BU7" s="187">
        <v>891</v>
      </c>
      <c r="BV7" s="187">
        <v>1136</v>
      </c>
      <c r="BW7" s="187">
        <v>762</v>
      </c>
      <c r="BX7" s="187">
        <v>164</v>
      </c>
      <c r="BY7" s="187">
        <v>11219</v>
      </c>
      <c r="BZ7" s="187">
        <v>501</v>
      </c>
      <c r="CA7" s="187">
        <v>378</v>
      </c>
      <c r="CB7" s="187">
        <v>1477</v>
      </c>
      <c r="CC7" s="187">
        <v>9505</v>
      </c>
      <c r="CD7" s="187">
        <v>583</v>
      </c>
      <c r="CE7" s="187">
        <v>1121</v>
      </c>
      <c r="CF7" s="187">
        <v>1545</v>
      </c>
      <c r="CG7" s="187">
        <v>306</v>
      </c>
      <c r="CH7" s="187">
        <v>62</v>
      </c>
      <c r="CI7" s="187">
        <v>209</v>
      </c>
      <c r="CJ7" s="187">
        <v>675.30407130746573</v>
      </c>
      <c r="CK7" s="187">
        <v>1218</v>
      </c>
      <c r="CL7" s="187">
        <v>2358</v>
      </c>
    </row>
    <row r="8" spans="1:90" x14ac:dyDescent="0.2">
      <c r="A8" t="s">
        <v>175</v>
      </c>
      <c r="B8" s="187">
        <v>3760.9871351297952</v>
      </c>
      <c r="C8" s="187">
        <v>5585.6364013721695</v>
      </c>
      <c r="D8" s="187">
        <v>4225.5040704656722</v>
      </c>
      <c r="E8" s="187">
        <v>3712.2983809866296</v>
      </c>
      <c r="F8" s="187">
        <v>3613.1769716870454</v>
      </c>
      <c r="G8" s="187">
        <v>3511.8801322430218</v>
      </c>
      <c r="H8" s="187">
        <v>2303.3395958506753</v>
      </c>
      <c r="I8" s="187">
        <v>4240.249172734877</v>
      </c>
      <c r="J8" s="187">
        <v>2475.4342543654861</v>
      </c>
      <c r="K8" s="187">
        <v>6278.9719785545931</v>
      </c>
      <c r="L8" s="187">
        <v>2579.936169144371</v>
      </c>
      <c r="M8" s="187">
        <v>2935.3730682533724</v>
      </c>
      <c r="N8" s="187">
        <v>2173.762577201423</v>
      </c>
      <c r="O8" s="187">
        <v>3149</v>
      </c>
      <c r="P8" s="187">
        <v>1576.3792565512506</v>
      </c>
      <c r="Q8" s="187">
        <v>3294.5868863426267</v>
      </c>
      <c r="R8" s="187">
        <v>1654</v>
      </c>
      <c r="S8" s="187">
        <v>1342.857</v>
      </c>
      <c r="T8" s="187">
        <v>1948</v>
      </c>
      <c r="U8" s="187">
        <v>309.36869475529323</v>
      </c>
      <c r="V8" s="187">
        <v>756</v>
      </c>
      <c r="W8" s="187">
        <v>1580</v>
      </c>
      <c r="X8" s="187">
        <v>716</v>
      </c>
      <c r="Y8" s="187">
        <v>8893</v>
      </c>
      <c r="Z8" s="187">
        <v>1895</v>
      </c>
      <c r="AA8" s="187">
        <v>4263</v>
      </c>
      <c r="AB8" s="187">
        <v>5009.0332259330999</v>
      </c>
      <c r="AC8" s="187">
        <v>5194</v>
      </c>
      <c r="AD8" s="187">
        <v>3988.2968436806882</v>
      </c>
      <c r="AE8" s="187">
        <v>3676.5228107974631</v>
      </c>
      <c r="AF8" s="187">
        <v>14570.546482331776</v>
      </c>
      <c r="AG8" s="187">
        <v>3344.4511157469024</v>
      </c>
      <c r="AH8" s="187">
        <v>1761.7017182784252</v>
      </c>
      <c r="AI8" s="187">
        <v>1445.9692936668284</v>
      </c>
      <c r="AJ8" s="187">
        <v>9185.2881970258932</v>
      </c>
      <c r="AK8" s="187">
        <v>2235.2959382500853</v>
      </c>
      <c r="AL8" s="187">
        <v>4031.138502869057</v>
      </c>
      <c r="AM8" s="187">
        <v>1905.1341755101612</v>
      </c>
      <c r="AN8" s="187">
        <v>3323.6589737022268</v>
      </c>
      <c r="AO8" s="187">
        <v>648.81072470023457</v>
      </c>
      <c r="AP8" s="187">
        <v>520.63913468616397</v>
      </c>
      <c r="AQ8" s="187">
        <v>386</v>
      </c>
      <c r="AR8" s="187">
        <v>1265</v>
      </c>
      <c r="AS8" s="187">
        <v>1314.4871861103391</v>
      </c>
      <c r="AT8" s="187">
        <v>3164.8968073554602</v>
      </c>
      <c r="AU8" s="187">
        <v>3196.0712466202299</v>
      </c>
      <c r="AV8" s="187">
        <v>2624.3285524213825</v>
      </c>
      <c r="AW8" s="187">
        <v>1837.1011729005654</v>
      </c>
      <c r="AX8" s="187">
        <v>1741.3765437886323</v>
      </c>
      <c r="AY8" s="187">
        <v>1563.8708063040999</v>
      </c>
      <c r="AZ8" s="187">
        <v>667.22548105579642</v>
      </c>
      <c r="BA8" s="187">
        <v>5279.41876102897</v>
      </c>
      <c r="BB8" s="187">
        <v>5488.7741607091739</v>
      </c>
      <c r="BC8" s="187">
        <v>2475.0802883935185</v>
      </c>
      <c r="BD8" s="187">
        <v>1847</v>
      </c>
      <c r="BE8" s="187">
        <v>5605</v>
      </c>
      <c r="BF8" s="187">
        <v>2464</v>
      </c>
      <c r="BG8" s="187">
        <v>2472.7937680539162</v>
      </c>
      <c r="BH8" s="187">
        <v>1192.9745981836477</v>
      </c>
      <c r="BI8" s="187">
        <v>671.58678404474449</v>
      </c>
      <c r="BJ8" s="187">
        <v>6064.5021918946986</v>
      </c>
      <c r="BK8" s="187">
        <v>4541.5568519784256</v>
      </c>
      <c r="BL8" s="187">
        <v>15116.402958290391</v>
      </c>
      <c r="BM8" s="187">
        <v>2108</v>
      </c>
      <c r="BN8" s="187">
        <v>3634</v>
      </c>
      <c r="BO8" s="187">
        <v>2418</v>
      </c>
      <c r="BP8" s="187">
        <v>4481</v>
      </c>
      <c r="BQ8" s="187">
        <v>2270</v>
      </c>
      <c r="BR8" s="187">
        <v>3909</v>
      </c>
      <c r="BS8" s="187">
        <v>5532</v>
      </c>
      <c r="BT8" s="187">
        <v>3916</v>
      </c>
      <c r="BU8" s="187">
        <v>6379</v>
      </c>
      <c r="BV8" s="187">
        <v>3588</v>
      </c>
      <c r="BW8" s="187">
        <v>4948</v>
      </c>
      <c r="BX8" s="187">
        <v>1740</v>
      </c>
      <c r="BY8" s="187">
        <v>5042</v>
      </c>
      <c r="BZ8" s="187">
        <v>5861</v>
      </c>
      <c r="CA8" s="187">
        <v>2812</v>
      </c>
      <c r="CB8" s="187">
        <v>5682</v>
      </c>
      <c r="CC8" s="187">
        <v>2873</v>
      </c>
      <c r="CD8" s="187">
        <v>7838</v>
      </c>
      <c r="CE8" s="187">
        <v>2119</v>
      </c>
      <c r="CF8" s="187">
        <v>3458</v>
      </c>
      <c r="CG8" s="187">
        <v>747</v>
      </c>
      <c r="CH8" s="187">
        <v>773</v>
      </c>
      <c r="CI8" s="187">
        <v>567</v>
      </c>
      <c r="CJ8" s="187">
        <v>1151.2225375818548</v>
      </c>
      <c r="CK8" s="187">
        <v>1478</v>
      </c>
      <c r="CL8" s="187">
        <v>1492</v>
      </c>
    </row>
    <row r="9" spans="1:90" x14ac:dyDescent="0.2">
      <c r="A9" t="s">
        <v>176</v>
      </c>
      <c r="B9" s="187">
        <v>4202.5156144183293</v>
      </c>
      <c r="C9" s="187">
        <v>5803.9341934027643</v>
      </c>
      <c r="D9" s="187">
        <v>4991.5373474900289</v>
      </c>
      <c r="E9" s="187">
        <v>3941.8475216989518</v>
      </c>
      <c r="F9" s="187">
        <v>4371.2356044940752</v>
      </c>
      <c r="G9" s="187">
        <v>4233.6299319859691</v>
      </c>
      <c r="H9" s="187">
        <v>2769.1300002043226</v>
      </c>
      <c r="I9" s="187">
        <v>4917.6947059226695</v>
      </c>
      <c r="J9" s="187">
        <v>2883.2051633769292</v>
      </c>
      <c r="K9" s="187">
        <v>7239.7505302179425</v>
      </c>
      <c r="L9" s="187">
        <v>3002.6869988401322</v>
      </c>
      <c r="M9" s="187">
        <v>3629.5116882425536</v>
      </c>
      <c r="N9" s="187">
        <v>2533.5643286293584</v>
      </c>
      <c r="O9" s="187">
        <v>3565.5832570550288</v>
      </c>
      <c r="P9" s="187">
        <v>1825.6216821151825</v>
      </c>
      <c r="Q9" s="187">
        <v>3997.5195715065347</v>
      </c>
      <c r="R9" s="187">
        <v>2348</v>
      </c>
      <c r="S9" s="187">
        <v>1574</v>
      </c>
      <c r="T9" s="187">
        <v>2280</v>
      </c>
      <c r="U9" s="187">
        <v>3700.35688457284</v>
      </c>
      <c r="V9" s="187">
        <v>935</v>
      </c>
      <c r="W9" s="187">
        <v>2991</v>
      </c>
      <c r="X9" s="187">
        <v>1574</v>
      </c>
      <c r="Y9" s="187">
        <v>9681</v>
      </c>
      <c r="Z9" s="187">
        <v>2299</v>
      </c>
      <c r="AA9" s="187">
        <v>5926</v>
      </c>
      <c r="AB9" s="187">
        <v>5732.514396291348</v>
      </c>
      <c r="AC9" s="187">
        <v>0</v>
      </c>
      <c r="AD9" s="187">
        <v>4251.0623843917738</v>
      </c>
      <c r="AE9" s="187">
        <v>4220.5413594491501</v>
      </c>
      <c r="AF9" s="187">
        <v>14831.287458818482</v>
      </c>
      <c r="AG9" s="187">
        <v>3659.7998854899774</v>
      </c>
      <c r="AH9" s="187">
        <v>6997.4837229258064</v>
      </c>
      <c r="AI9" s="187">
        <v>1552.5217912536023</v>
      </c>
      <c r="AJ9" s="187">
        <v>10177.063609134309</v>
      </c>
      <c r="AK9" s="187">
        <v>2414.1196133100925</v>
      </c>
      <c r="AL9" s="187">
        <v>3713.3225682458869</v>
      </c>
      <c r="AM9" s="187">
        <v>1705.5137629515018</v>
      </c>
      <c r="AN9" s="187">
        <v>3261.8115707789921</v>
      </c>
      <c r="AO9" s="187">
        <v>1142.6535935822492</v>
      </c>
      <c r="AP9" s="187">
        <v>666.30779942500885</v>
      </c>
      <c r="AQ9" s="187">
        <v>417</v>
      </c>
      <c r="AR9" s="187">
        <v>1484</v>
      </c>
      <c r="AS9" s="187">
        <v>1503.5483001391535</v>
      </c>
      <c r="AT9" s="187">
        <v>4097.2113719397876</v>
      </c>
      <c r="AU9" s="187">
        <v>3334.6943587345145</v>
      </c>
      <c r="AV9" s="187">
        <v>3977.8055136867624</v>
      </c>
      <c r="AW9" s="187">
        <v>2517.5562931515569</v>
      </c>
      <c r="AX9" s="187">
        <v>1609.0782623409418</v>
      </c>
      <c r="AY9" s="187">
        <v>3236.4004346776987</v>
      </c>
      <c r="AZ9" s="187">
        <v>906.28481366124186</v>
      </c>
      <c r="BA9" s="187">
        <v>6556.7218261297858</v>
      </c>
      <c r="BB9" s="187">
        <v>5602.4240013929521</v>
      </c>
      <c r="BC9" s="187">
        <v>2382.4487945201749</v>
      </c>
      <c r="BD9" s="187">
        <v>1665</v>
      </c>
      <c r="BE9" s="187">
        <v>5241</v>
      </c>
      <c r="BF9" s="187">
        <v>7175</v>
      </c>
      <c r="BG9" s="187">
        <v>3547.9189432623175</v>
      </c>
      <c r="BH9" s="187">
        <v>1135.5364221850407</v>
      </c>
      <c r="BI9" s="187">
        <v>571.98405858026058</v>
      </c>
      <c r="BJ9" s="187">
        <v>7513.9610512204208</v>
      </c>
      <c r="BK9" s="187">
        <v>4334.8695278693358</v>
      </c>
      <c r="BL9" s="187">
        <v>13757.979293624699</v>
      </c>
      <c r="BM9" s="187">
        <v>2247</v>
      </c>
      <c r="BN9" s="187">
        <v>3898</v>
      </c>
      <c r="BO9" s="187">
        <v>2938</v>
      </c>
      <c r="BP9" s="187">
        <v>6350</v>
      </c>
      <c r="BQ9" s="187">
        <v>2787</v>
      </c>
      <c r="BR9" s="187">
        <v>4611</v>
      </c>
      <c r="BS9" s="187">
        <v>6072</v>
      </c>
      <c r="BT9" s="187">
        <v>4110</v>
      </c>
      <c r="BU9" s="187">
        <v>7340</v>
      </c>
      <c r="BV9" s="187">
        <v>4266</v>
      </c>
      <c r="BW9" s="187">
        <v>6659</v>
      </c>
      <c r="BX9" s="187">
        <v>1999</v>
      </c>
      <c r="BY9" s="187">
        <v>6061</v>
      </c>
      <c r="BZ9" s="187">
        <v>6684</v>
      </c>
      <c r="CA9" s="187">
        <v>3104</v>
      </c>
      <c r="CB9" s="187">
        <v>6713</v>
      </c>
      <c r="CC9" s="187">
        <v>3236</v>
      </c>
      <c r="CD9" s="187">
        <v>8712</v>
      </c>
      <c r="CE9" s="187">
        <v>2207</v>
      </c>
      <c r="CF9" s="187">
        <v>3678</v>
      </c>
      <c r="CG9" s="187">
        <v>1072</v>
      </c>
      <c r="CH9" s="187">
        <v>321</v>
      </c>
      <c r="CI9" s="187">
        <v>585</v>
      </c>
      <c r="CJ9" s="187">
        <v>1562.2797802772477</v>
      </c>
      <c r="CK9" s="187">
        <v>2035</v>
      </c>
      <c r="CL9" s="187">
        <v>3528</v>
      </c>
    </row>
    <row r="10" spans="1:90" x14ac:dyDescent="0.2">
      <c r="A10" t="s">
        <v>177</v>
      </c>
      <c r="B10" s="187">
        <v>26098.275881812111</v>
      </c>
      <c r="C10" s="187">
        <v>33059.417726072999</v>
      </c>
      <c r="D10" s="187">
        <v>27696.081944773348</v>
      </c>
      <c r="E10" s="187">
        <v>16695.368434359723</v>
      </c>
      <c r="F10" s="187">
        <v>19159.362996578991</v>
      </c>
      <c r="G10" s="187">
        <v>23110.798015397926</v>
      </c>
      <c r="H10" s="187">
        <v>19689.243753957031</v>
      </c>
      <c r="I10" s="187">
        <v>21692.616248871138</v>
      </c>
      <c r="J10" s="187">
        <v>15964.999615384617</v>
      </c>
      <c r="K10" s="187">
        <v>33615.288405541811</v>
      </c>
      <c r="L10" s="187">
        <v>15483.397983660743</v>
      </c>
      <c r="M10" s="187">
        <v>16421.646516809386</v>
      </c>
      <c r="N10" s="187">
        <v>14943.830798048768</v>
      </c>
      <c r="O10" s="187">
        <v>17760</v>
      </c>
      <c r="P10" s="187">
        <v>13938.602776406306</v>
      </c>
      <c r="Q10" s="187">
        <v>16990.254996070777</v>
      </c>
      <c r="R10" s="187">
        <v>19800</v>
      </c>
      <c r="S10" s="187">
        <v>16084.59</v>
      </c>
      <c r="T10" s="187">
        <v>20053</v>
      </c>
      <c r="U10" s="187">
        <v>15504.364363094959</v>
      </c>
      <c r="V10" s="187">
        <v>18054</v>
      </c>
      <c r="W10" s="187">
        <v>26730</v>
      </c>
      <c r="X10" s="187">
        <v>13751</v>
      </c>
      <c r="Y10" s="187">
        <v>57975</v>
      </c>
      <c r="Z10" s="187">
        <v>19897</v>
      </c>
      <c r="AA10" s="187">
        <v>34618</v>
      </c>
      <c r="AB10" s="187">
        <v>27766.101902659026</v>
      </c>
      <c r="AC10" s="187">
        <v>37432</v>
      </c>
      <c r="AD10" s="187">
        <v>27756.871877131391</v>
      </c>
      <c r="AE10" s="187">
        <v>22650.294967594775</v>
      </c>
      <c r="AF10" s="187">
        <v>49349.294023971197</v>
      </c>
      <c r="AG10" s="187">
        <v>27521.623787918048</v>
      </c>
      <c r="AH10" s="187">
        <v>29131.542122202631</v>
      </c>
      <c r="AI10" s="187">
        <v>14917.598723691988</v>
      </c>
      <c r="AJ10" s="187">
        <v>42822.955417049554</v>
      </c>
      <c r="AK10" s="187">
        <v>14063.51</v>
      </c>
      <c r="AL10" s="187">
        <v>22175.855621709557</v>
      </c>
      <c r="AM10" s="187">
        <v>22340.519198906844</v>
      </c>
      <c r="AN10" s="187">
        <v>12232.169750329316</v>
      </c>
      <c r="AO10" s="187">
        <v>15519.442340923508</v>
      </c>
      <c r="AP10" s="187">
        <v>13922.444037105692</v>
      </c>
      <c r="AQ10" s="187">
        <v>19100</v>
      </c>
      <c r="AR10" s="187">
        <v>28700</v>
      </c>
      <c r="AS10" s="187">
        <v>29923.460260064723</v>
      </c>
      <c r="AT10" s="187">
        <v>27805.354572933589</v>
      </c>
      <c r="AU10" s="187">
        <v>22388.617830471161</v>
      </c>
      <c r="AV10" s="187">
        <v>25150.473128140748</v>
      </c>
      <c r="AW10" s="187">
        <v>17388.761121707907</v>
      </c>
      <c r="AX10" s="187">
        <v>11500</v>
      </c>
      <c r="AY10" s="187">
        <v>23760.340552482809</v>
      </c>
      <c r="AZ10" s="187">
        <v>15512.887863490554</v>
      </c>
      <c r="BA10" s="187">
        <v>54200.079179542656</v>
      </c>
      <c r="BB10" s="187">
        <v>19802.284336495417</v>
      </c>
      <c r="BC10" s="187">
        <v>24110.108001605829</v>
      </c>
      <c r="BD10" s="187">
        <v>27850</v>
      </c>
      <c r="BE10" s="187">
        <v>26696</v>
      </c>
      <c r="BF10" s="187">
        <v>21806</v>
      </c>
      <c r="BG10" s="187">
        <v>20395.985246538083</v>
      </c>
      <c r="BH10" s="187">
        <v>18767.305074915475</v>
      </c>
      <c r="BI10" s="187">
        <v>14378.207658857642</v>
      </c>
      <c r="BJ10" s="187">
        <v>31528.867270075145</v>
      </c>
      <c r="BK10" s="187">
        <v>89690.770982980146</v>
      </c>
      <c r="BL10" s="187">
        <v>36119.933897552291</v>
      </c>
      <c r="BM10" s="187">
        <v>14680</v>
      </c>
      <c r="BN10" s="187">
        <v>24637</v>
      </c>
      <c r="BO10" s="187">
        <v>15747</v>
      </c>
      <c r="BP10" s="187">
        <v>18520</v>
      </c>
      <c r="BQ10" s="187">
        <v>22258</v>
      </c>
      <c r="BR10" s="187">
        <v>22026</v>
      </c>
      <c r="BS10" s="187">
        <v>36614</v>
      </c>
      <c r="BT10" s="187">
        <v>17911</v>
      </c>
      <c r="BU10" s="187">
        <v>32179</v>
      </c>
      <c r="BV10" s="187">
        <v>13256</v>
      </c>
      <c r="BW10" s="187">
        <v>27219</v>
      </c>
      <c r="BX10" s="187">
        <v>17364</v>
      </c>
      <c r="BY10" s="187">
        <v>21041</v>
      </c>
      <c r="BZ10" s="187">
        <v>29592</v>
      </c>
      <c r="CA10" s="187">
        <v>17259</v>
      </c>
      <c r="CB10" s="187">
        <v>48739</v>
      </c>
      <c r="CC10" s="187">
        <v>1230</v>
      </c>
      <c r="CD10" s="187">
        <v>55667</v>
      </c>
      <c r="CE10" s="187">
        <v>25830</v>
      </c>
      <c r="CF10" s="187">
        <v>34618</v>
      </c>
      <c r="CG10" s="187">
        <v>13404</v>
      </c>
      <c r="CH10" s="187">
        <v>13672</v>
      </c>
      <c r="CI10" s="187">
        <v>11543</v>
      </c>
      <c r="CJ10" s="187">
        <v>22518.842454042027</v>
      </c>
      <c r="CK10" s="187">
        <v>20023</v>
      </c>
      <c r="CL10" s="187">
        <v>15564</v>
      </c>
    </row>
    <row r="11" spans="1:90" x14ac:dyDescent="0.2">
      <c r="A11" t="s">
        <v>178</v>
      </c>
      <c r="B11" s="187">
        <v>29272.437789332267</v>
      </c>
      <c r="C11" s="187">
        <v>34006.648059956926</v>
      </c>
      <c r="D11" s="187">
        <v>36959.264465387372</v>
      </c>
      <c r="E11" s="187">
        <v>17846.327296673</v>
      </c>
      <c r="F11" s="187">
        <v>23530.59860107307</v>
      </c>
      <c r="G11" s="187">
        <v>26591.297984133518</v>
      </c>
      <c r="H11" s="187">
        <v>21458.373754161348</v>
      </c>
      <c r="I11" s="187">
        <v>25084.815587059042</v>
      </c>
      <c r="J11" s="187">
        <v>18390.925184662792</v>
      </c>
      <c r="K11" s="187">
        <v>37752.745956845189</v>
      </c>
      <c r="L11" s="187">
        <v>17011.735429422228</v>
      </c>
      <c r="M11" s="187">
        <v>19298.312123697691</v>
      </c>
      <c r="N11" s="187">
        <v>16791.528988669979</v>
      </c>
      <c r="O11" s="187">
        <v>21389.377469036528</v>
      </c>
      <c r="P11" s="187">
        <v>15278.525144474868</v>
      </c>
      <c r="Q11" s="187">
        <v>19790.653849462011</v>
      </c>
      <c r="R11" s="187">
        <v>22084</v>
      </c>
      <c r="S11" s="187">
        <v>17655.59</v>
      </c>
      <c r="T11" s="187">
        <v>22331.63</v>
      </c>
      <c r="U11" s="187">
        <v>19204.721247667785</v>
      </c>
      <c r="V11" s="187">
        <v>19095</v>
      </c>
      <c r="W11" s="187">
        <v>29846</v>
      </c>
      <c r="X11" s="187">
        <v>15366</v>
      </c>
      <c r="Y11" s="187">
        <v>67675</v>
      </c>
      <c r="Z11" s="187">
        <v>22196</v>
      </c>
      <c r="AA11" s="187">
        <v>39580</v>
      </c>
      <c r="AB11" s="187">
        <v>33498.616298950357</v>
      </c>
      <c r="AC11" s="187">
        <v>0</v>
      </c>
      <c r="AD11" s="187">
        <v>29007.934261523162</v>
      </c>
      <c r="AE11" s="187">
        <v>26870.836327043929</v>
      </c>
      <c r="AF11" s="187">
        <v>55180.170987740166</v>
      </c>
      <c r="AG11" s="187">
        <v>28181.423673408033</v>
      </c>
      <c r="AH11" s="187">
        <v>36867.485286740935</v>
      </c>
      <c r="AI11" s="187">
        <v>14470.120514945585</v>
      </c>
      <c r="AJ11" s="187">
        <v>50645.07289894655</v>
      </c>
      <c r="AK11" s="187">
        <v>14204.1451</v>
      </c>
      <c r="AL11" s="187">
        <v>25128.717910775471</v>
      </c>
      <c r="AM11" s="187">
        <v>21949.591823769268</v>
      </c>
      <c r="AN11" s="187">
        <v>15065.588110983987</v>
      </c>
      <c r="AO11" s="187">
        <v>16266.177648144585</v>
      </c>
      <c r="AP11" s="187">
        <v>14568.864026796859</v>
      </c>
      <c r="AQ11" s="187">
        <v>20300</v>
      </c>
      <c r="AR11" s="187">
        <v>29200</v>
      </c>
      <c r="AS11" s="187">
        <v>32823.468581990695</v>
      </c>
      <c r="AT11" s="187">
        <v>31300.401084858713</v>
      </c>
      <c r="AU11" s="187">
        <v>25723.312189205677</v>
      </c>
      <c r="AV11" s="187">
        <v>29813.373228198579</v>
      </c>
      <c r="AW11" s="187">
        <v>21406.286000295244</v>
      </c>
      <c r="AX11" s="187">
        <v>11700</v>
      </c>
      <c r="AY11" s="187">
        <v>27864.524272297993</v>
      </c>
      <c r="AZ11" s="187">
        <v>16573.31378921491</v>
      </c>
      <c r="BA11" s="187">
        <v>62262.309037359802</v>
      </c>
      <c r="BB11" s="187">
        <v>19860.106483905376</v>
      </c>
      <c r="BC11" s="187">
        <v>26754.250843487414</v>
      </c>
      <c r="BD11" s="187">
        <v>30060</v>
      </c>
      <c r="BE11" s="187">
        <v>27887</v>
      </c>
      <c r="BF11" s="187">
        <v>28900</v>
      </c>
      <c r="BG11" s="187">
        <v>23942.561417024619</v>
      </c>
      <c r="BH11" s="187">
        <v>19906.004896573464</v>
      </c>
      <c r="BI11" s="187">
        <v>14950.191717437903</v>
      </c>
      <c r="BJ11" s="187">
        <v>38133.73369119758</v>
      </c>
      <c r="BK11" s="187">
        <v>94012.642514819338</v>
      </c>
      <c r="BL11" s="187">
        <v>36877.913191176987</v>
      </c>
      <c r="BM11" s="187">
        <v>16411</v>
      </c>
      <c r="BN11" s="187">
        <v>29378</v>
      </c>
      <c r="BO11" s="187">
        <v>18488</v>
      </c>
      <c r="BP11" s="187">
        <v>24878</v>
      </c>
      <c r="BQ11" s="187">
        <v>25042</v>
      </c>
      <c r="BR11" s="187">
        <v>25670</v>
      </c>
      <c r="BS11" s="187">
        <v>40695</v>
      </c>
      <c r="BT11" s="187">
        <v>18543</v>
      </c>
      <c r="BU11" s="187">
        <v>38775</v>
      </c>
      <c r="BV11" s="187">
        <v>16529</v>
      </c>
      <c r="BW11" s="187">
        <v>33878</v>
      </c>
      <c r="BX11" s="187">
        <v>19545</v>
      </c>
      <c r="BY11" s="187">
        <v>25579</v>
      </c>
      <c r="BZ11" s="187">
        <v>32565</v>
      </c>
      <c r="CA11" s="187">
        <v>19132</v>
      </c>
      <c r="CB11" s="187">
        <v>54571</v>
      </c>
      <c r="CC11" s="187">
        <v>3179</v>
      </c>
      <c r="CD11" s="187">
        <v>64433</v>
      </c>
      <c r="CE11" s="187">
        <v>28653</v>
      </c>
      <c r="CF11" s="187">
        <v>36923</v>
      </c>
      <c r="CG11" s="187">
        <v>13970</v>
      </c>
      <c r="CH11" s="187">
        <v>13734</v>
      </c>
      <c r="CI11" s="187">
        <v>12126</v>
      </c>
      <c r="CJ11" s="187">
        <v>24286.441771924354</v>
      </c>
      <c r="CK11" s="187">
        <v>22022</v>
      </c>
      <c r="CL11" s="187">
        <v>18392</v>
      </c>
    </row>
    <row r="12" spans="1:90" x14ac:dyDescent="0.2">
      <c r="A12" t="s">
        <v>179</v>
      </c>
      <c r="B12" s="188">
        <v>0.16452466027540713</v>
      </c>
      <c r="C12" s="188">
        <v>0.1845478675821203</v>
      </c>
      <c r="D12" s="188">
        <v>0.16516630498869897</v>
      </c>
      <c r="E12" s="188">
        <v>0.25016803916557312</v>
      </c>
      <c r="F12" s="188">
        <v>0.20564273460145485</v>
      </c>
      <c r="G12" s="188">
        <v>0.16080519018416684</v>
      </c>
      <c r="H12" s="188">
        <v>0.12259909668172961</v>
      </c>
      <c r="I12" s="188">
        <v>0.21002715792584398</v>
      </c>
      <c r="J12" s="188">
        <v>0.1643409117806455</v>
      </c>
      <c r="K12" s="188">
        <v>0.20004736447947036</v>
      </c>
      <c r="L12" s="188">
        <v>0.17365191686360806</v>
      </c>
      <c r="M12" s="188">
        <v>0.19265184409179931</v>
      </c>
      <c r="N12" s="188">
        <v>0.15321936154917984</v>
      </c>
      <c r="O12" s="188">
        <v>0.19500000000000001</v>
      </c>
      <c r="P12" s="188">
        <v>0.11771470094775008</v>
      </c>
      <c r="Q12" s="188">
        <v>0.20629553412490578</v>
      </c>
      <c r="R12" s="188">
        <v>0.11700000000000001</v>
      </c>
      <c r="S12" s="188">
        <v>0.115</v>
      </c>
      <c r="T12" s="188">
        <v>0.10100000000000001</v>
      </c>
      <c r="U12" s="188">
        <v>2.2910025023831413E-2</v>
      </c>
      <c r="V12" s="188">
        <v>6.7000000000000004E-2</v>
      </c>
      <c r="W12" s="188">
        <v>6.9000000000000006E-2</v>
      </c>
      <c r="X12" s="188">
        <v>6.8000000000000005E-2</v>
      </c>
      <c r="Y12" s="188">
        <v>0.14299999999999999</v>
      </c>
      <c r="Z12" s="188">
        <v>9.5000000000000001E-2</v>
      </c>
      <c r="AA12" s="188">
        <v>0.122</v>
      </c>
      <c r="AB12" s="188">
        <v>0.15980789948329971</v>
      </c>
      <c r="AC12" s="188">
        <v>0.13880000000000001</v>
      </c>
      <c r="AD12" s="188">
        <v>0.13753906660146478</v>
      </c>
      <c r="AE12" s="188">
        <v>0.16231677406662362</v>
      </c>
      <c r="AF12" s="188">
        <v>0</v>
      </c>
      <c r="AG12" s="188">
        <v>9.3872925879694369E-2</v>
      </c>
      <c r="AH12" s="188">
        <v>6.0474028834050023E-2</v>
      </c>
      <c r="AI12" s="188">
        <v>9.6930432333613703E-2</v>
      </c>
      <c r="AJ12" s="188">
        <v>0.24761974753652777</v>
      </c>
      <c r="AK12" s="188">
        <v>0.15894296219436579</v>
      </c>
      <c r="AL12" s="188">
        <v>0.24229827818068106</v>
      </c>
      <c r="AM12" s="188">
        <v>9.0927707729270252E-2</v>
      </c>
      <c r="AN12" s="188">
        <v>0.21240671392776977</v>
      </c>
      <c r="AO12" s="188">
        <v>4.4973207515911162E-2</v>
      </c>
      <c r="AP12" s="188">
        <v>5.0599317184498109E-2</v>
      </c>
      <c r="AQ12" s="188">
        <v>0.08</v>
      </c>
      <c r="AR12" s="188">
        <v>0.06</v>
      </c>
      <c r="AS12" s="188">
        <v>8.9012451365266879E-2</v>
      </c>
      <c r="AT12" s="188">
        <v>0.12397870489992978</v>
      </c>
      <c r="AU12" s="188">
        <v>0.14822838039296071</v>
      </c>
      <c r="AV12" s="188">
        <v>0.13494247616399876</v>
      </c>
      <c r="AW12" s="188">
        <v>0.11503292109237272</v>
      </c>
      <c r="AX12" s="188">
        <v>0.15244595890736798</v>
      </c>
      <c r="AY12" s="188">
        <v>9.6304460885396598E-2</v>
      </c>
      <c r="AZ12" s="188">
        <v>5.233198860222555E-2</v>
      </c>
      <c r="BA12" s="188">
        <v>0.12821126867675178</v>
      </c>
      <c r="BB12" s="188">
        <v>0.28044071133591336</v>
      </c>
      <c r="BC12" s="188">
        <v>0.12437947315049287</v>
      </c>
      <c r="BD12" s="188">
        <v>0.09</v>
      </c>
      <c r="BE12" s="188">
        <v>0.18</v>
      </c>
      <c r="BF12" s="188">
        <v>0.11</v>
      </c>
      <c r="BG12" s="188">
        <v>0.12123924086842712</v>
      </c>
      <c r="BH12" s="188">
        <v>6.3569697280231124E-2</v>
      </c>
      <c r="BI12" s="188">
        <v>4.6708657989858425E-2</v>
      </c>
      <c r="BJ12" s="188">
        <v>0.21297459570579044</v>
      </c>
      <c r="BK12" s="188">
        <v>5.0635720957736427E-2</v>
      </c>
      <c r="BL12" s="188">
        <v>0.41850583118909773</v>
      </c>
      <c r="BM12" s="188">
        <v>0.10299999999999999</v>
      </c>
      <c r="BN12" s="188">
        <v>0.19</v>
      </c>
      <c r="BO12" s="188">
        <v>0.15</v>
      </c>
      <c r="BP12" s="188">
        <v>0.24</v>
      </c>
      <c r="BQ12" s="188">
        <v>0.12</v>
      </c>
      <c r="BR12" s="188">
        <v>0.17699999999999999</v>
      </c>
      <c r="BS12" s="188">
        <v>0.17</v>
      </c>
      <c r="BT12" s="188">
        <v>0.26</v>
      </c>
      <c r="BU12" s="188">
        <v>0.16</v>
      </c>
      <c r="BV12" s="188">
        <v>0.26</v>
      </c>
      <c r="BW12" s="188">
        <v>0.18</v>
      </c>
      <c r="BX12" s="188">
        <v>0.1</v>
      </c>
      <c r="BY12" s="188">
        <v>0.21</v>
      </c>
      <c r="BZ12" s="188">
        <v>0.2</v>
      </c>
      <c r="CA12" s="188">
        <v>0.17455746496906291</v>
      </c>
      <c r="CB12" s="188">
        <v>0.12</v>
      </c>
      <c r="CC12" s="188"/>
      <c r="CD12" s="188">
        <v>0.14000000000000001</v>
      </c>
      <c r="CE12" s="188">
        <v>0.11600000000000001</v>
      </c>
      <c r="CF12" s="188">
        <v>0.13</v>
      </c>
      <c r="CG12" s="188">
        <v>0.04</v>
      </c>
      <c r="CH12" s="188">
        <v>0.06</v>
      </c>
      <c r="CI12" s="188">
        <v>0.05</v>
      </c>
      <c r="CJ12" s="188">
        <v>5.1122633853465042E-2</v>
      </c>
      <c r="CK12" s="188">
        <v>7.0000000000000007E-2</v>
      </c>
      <c r="CL12" s="188">
        <v>8.2000000000000003E-2</v>
      </c>
    </row>
    <row r="13" spans="1:90" x14ac:dyDescent="0.2">
      <c r="A13" t="s">
        <v>180</v>
      </c>
      <c r="B13" s="188">
        <v>0.15466813061425069</v>
      </c>
      <c r="C13" s="188">
        <v>0.18659359342920265</v>
      </c>
      <c r="D13" s="188">
        <v>0.15440447309104816</v>
      </c>
      <c r="E13" s="188">
        <v>0.24829904403979983</v>
      </c>
      <c r="F13" s="188">
        <v>0.20478985882875525</v>
      </c>
      <c r="G13" s="188">
        <v>0.1705398246007451</v>
      </c>
      <c r="H13" s="188">
        <v>0.13459491304243681</v>
      </c>
      <c r="I13" s="188">
        <v>0.21025928585268519</v>
      </c>
      <c r="J13" s="188">
        <v>0.16784325732212285</v>
      </c>
      <c r="K13" s="188">
        <v>0.20288496369275089</v>
      </c>
      <c r="L13" s="188">
        <v>0.18480841181167212</v>
      </c>
      <c r="M13" s="188">
        <v>0.20322037462420925</v>
      </c>
      <c r="N13" s="188">
        <v>0.15966822784783147</v>
      </c>
      <c r="O13" s="188">
        <v>0.18215261978674765</v>
      </c>
      <c r="P13" s="188">
        <v>0.12496927740870996</v>
      </c>
      <c r="Q13" s="188">
        <v>0.21736926557713659</v>
      </c>
      <c r="R13" s="188">
        <v>0.124</v>
      </c>
      <c r="S13" s="188">
        <v>0.123</v>
      </c>
      <c r="T13" s="188">
        <v>0.11600000000000001</v>
      </c>
      <c r="U13" s="188">
        <v>0.21508706629196253</v>
      </c>
      <c r="V13" s="188">
        <v>5.8000000000000003E-2</v>
      </c>
      <c r="W13" s="188">
        <v>0.10100000000000001</v>
      </c>
      <c r="X13" s="188">
        <v>0.13600000000000001</v>
      </c>
      <c r="Y13" s="188">
        <v>0.13700000000000001</v>
      </c>
      <c r="Z13" s="188">
        <v>0.104</v>
      </c>
      <c r="AA13" s="188">
        <v>1.4330000000000001</v>
      </c>
      <c r="AB13" s="188">
        <v>0.15461271195607657</v>
      </c>
      <c r="AC13" s="188">
        <v>0</v>
      </c>
      <c r="AD13" s="188">
        <v>0.14053740476325713</v>
      </c>
      <c r="AE13" s="188">
        <v>0.15706773351157</v>
      </c>
      <c r="AF13" s="188">
        <v>0</v>
      </c>
      <c r="AG13" s="188">
        <v>0.10085641355024512</v>
      </c>
      <c r="AH13" s="188">
        <v>0.18980094976649761</v>
      </c>
      <c r="AI13" s="188">
        <v>0.10729155915806415</v>
      </c>
      <c r="AJ13" s="188">
        <v>0.23153104217344109</v>
      </c>
      <c r="AK13" s="188">
        <v>0.16995881105932187</v>
      </c>
      <c r="AL13" s="188">
        <v>0.19697508125389188</v>
      </c>
      <c r="AM13" s="188">
        <v>7.5074189907451253E-2</v>
      </c>
      <c r="AN13" s="188">
        <v>0.19266528252255183</v>
      </c>
      <c r="AO13" s="188">
        <v>7.5598330533038896E-2</v>
      </c>
      <c r="AP13" s="188">
        <v>6.1883167438562744E-2</v>
      </c>
      <c r="AQ13" s="188">
        <v>0.08</v>
      </c>
      <c r="AR13" s="188">
        <v>0.06</v>
      </c>
      <c r="AS13" s="188">
        <v>9.5088397213127993E-2</v>
      </c>
      <c r="AT13" s="188">
        <v>0.14248694953967067</v>
      </c>
      <c r="AU13" s="188">
        <v>0.15917110634320036</v>
      </c>
      <c r="AV13" s="188">
        <v>0.1748576287319954</v>
      </c>
      <c r="AW13" s="188">
        <v>0.12978751051567561</v>
      </c>
      <c r="AX13" s="188">
        <v>0.13873591404116634</v>
      </c>
      <c r="AY13" s="188">
        <v>0.15900026987945176</v>
      </c>
      <c r="AZ13" s="188">
        <v>6.6098563937370167E-2</v>
      </c>
      <c r="BA13" s="188">
        <v>0.1384520784994008</v>
      </c>
      <c r="BB13" s="188">
        <v>0.28542132895788513</v>
      </c>
      <c r="BC13" s="188">
        <v>0.10396839366182864</v>
      </c>
      <c r="BD13" s="188">
        <v>0.08</v>
      </c>
      <c r="BE13" s="188">
        <v>0.16</v>
      </c>
      <c r="BF13" s="188">
        <v>0.28000000000000003</v>
      </c>
      <c r="BG13" s="188">
        <v>0.14818460236838032</v>
      </c>
      <c r="BH13" s="188">
        <v>5.7047796997929577E-2</v>
      </c>
      <c r="BI13" s="188">
        <v>3.8253595675004505E-2</v>
      </c>
      <c r="BJ13" s="188">
        <v>0.19704236443427176</v>
      </c>
      <c r="BK13" s="188">
        <v>4.6109431794622992E-2</v>
      </c>
      <c r="BL13" s="188">
        <v>0.37306827049303559</v>
      </c>
      <c r="BM13" s="188">
        <v>0.106</v>
      </c>
      <c r="BN13" s="188">
        <v>0.18</v>
      </c>
      <c r="BO13" s="188">
        <v>0.16</v>
      </c>
      <c r="BP13" s="188">
        <v>0.26</v>
      </c>
      <c r="BQ13" s="188">
        <v>0.14000000000000001</v>
      </c>
      <c r="BR13" s="188">
        <v>0.18</v>
      </c>
      <c r="BS13" s="188">
        <v>0.17</v>
      </c>
      <c r="BT13" s="188">
        <v>0.25</v>
      </c>
      <c r="BU13" s="188">
        <v>0.15</v>
      </c>
      <c r="BV13" s="188">
        <v>0.27</v>
      </c>
      <c r="BW13" s="188">
        <v>0.2</v>
      </c>
      <c r="BX13" s="188">
        <v>0.1</v>
      </c>
      <c r="BY13" s="188">
        <v>0.21</v>
      </c>
      <c r="BZ13" s="188">
        <v>0.19</v>
      </c>
      <c r="CA13" s="188">
        <v>0.15</v>
      </c>
      <c r="CB13" s="188">
        <v>0.12</v>
      </c>
      <c r="CC13" s="188"/>
      <c r="CD13" s="188">
        <v>0.14000000000000001</v>
      </c>
      <c r="CE13" s="188">
        <v>0.105</v>
      </c>
      <c r="CF13" s="188">
        <v>0.13</v>
      </c>
      <c r="CG13" s="188">
        <v>0.06</v>
      </c>
      <c r="CH13" s="188">
        <v>0.02</v>
      </c>
      <c r="CI13" s="188">
        <v>4.9000000000000002E-2</v>
      </c>
      <c r="CJ13" s="188">
        <v>6.4327240480459194E-2</v>
      </c>
      <c r="CK13" s="188">
        <v>0.09</v>
      </c>
      <c r="CL13" s="188">
        <v>0.14499999999999999</v>
      </c>
    </row>
    <row r="14" spans="1:90" x14ac:dyDescent="0.2">
      <c r="A14" t="s">
        <v>181</v>
      </c>
      <c r="B14" s="188">
        <v>8.9920401673562779E-3</v>
      </c>
      <c r="C14" s="188">
        <v>1.1769471858785635E-2</v>
      </c>
      <c r="D14" s="188">
        <v>1.5613356954423546E-2</v>
      </c>
      <c r="E14" s="188">
        <v>1.972471215131397E-2</v>
      </c>
      <c r="F14" s="188">
        <v>1.968972797317381E-2</v>
      </c>
      <c r="G14" s="188">
        <v>2.3218685243105268E-2</v>
      </c>
      <c r="H14" s="188">
        <v>1.8052079341840031E-2</v>
      </c>
      <c r="I14" s="188">
        <v>2.0531521247191702E-2</v>
      </c>
      <c r="J14" s="188">
        <v>1.8940010630577677E-2</v>
      </c>
      <c r="K14" s="188">
        <v>1.4979945289375901E-2</v>
      </c>
      <c r="L14" s="188">
        <v>1.5682870450842486E-2</v>
      </c>
      <c r="M14" s="188">
        <v>1.6421618542765075E-2</v>
      </c>
      <c r="N14" s="188">
        <v>1.591796285912336E-2</v>
      </c>
      <c r="O14" s="188">
        <v>1.6E-2</v>
      </c>
      <c r="P14" s="188">
        <v>1.2843387615637207E-2</v>
      </c>
      <c r="Q14" s="188">
        <v>1.6003329600009851E-2</v>
      </c>
      <c r="R14" s="188">
        <v>4.8000000000000001E-2</v>
      </c>
      <c r="S14" s="188">
        <v>4.5999999999999999E-2</v>
      </c>
      <c r="T14" s="188">
        <v>4.8000000000000001E-2</v>
      </c>
      <c r="U14" s="188">
        <v>1.1452492276944832E-2</v>
      </c>
      <c r="V14" s="188">
        <v>4.2000000000000003E-2</v>
      </c>
      <c r="W14" s="188">
        <v>3.6999999999999998E-2</v>
      </c>
      <c r="X14" s="188">
        <v>3.3000000000000002E-2</v>
      </c>
      <c r="Y14" s="188">
        <v>5.8999999999999997E-2</v>
      </c>
      <c r="Z14" s="188">
        <v>7.5999999999999998E-2</v>
      </c>
      <c r="AA14" s="188">
        <v>4.7E-2</v>
      </c>
      <c r="AB14" s="188">
        <v>8.024259491955979E-2</v>
      </c>
      <c r="AC14" s="188">
        <v>7.6700000000000004E-2</v>
      </c>
      <c r="AD14" s="188">
        <v>7.8655499833181985E-2</v>
      </c>
      <c r="AE14" s="188">
        <v>6.4412270222108686E-2</v>
      </c>
      <c r="AF14" s="188">
        <v>0</v>
      </c>
      <c r="AG14" s="188">
        <v>5.9594155731082933E-2</v>
      </c>
      <c r="AH14" s="188">
        <v>3.4925544051563319E-2</v>
      </c>
      <c r="AI14" s="188">
        <v>2.3314332723710106E-2</v>
      </c>
      <c r="AJ14" s="188">
        <v>0.21775575332844233</v>
      </c>
      <c r="AK14" s="188">
        <v>0.13286713286713286</v>
      </c>
      <c r="AL14" s="188">
        <v>0.16807405834335612</v>
      </c>
      <c r="AM14" s="188">
        <v>6.9828444647252325E-2</v>
      </c>
      <c r="AN14" s="188">
        <v>0.27171458878853011</v>
      </c>
      <c r="AO14" s="188">
        <v>2.5495719038898128E-2</v>
      </c>
      <c r="AP14" s="188">
        <v>3.7447403832265518E-2</v>
      </c>
      <c r="AQ14" s="188">
        <v>0.05</v>
      </c>
      <c r="AR14" s="188">
        <v>4.1000000000000002E-2</v>
      </c>
      <c r="AS14" s="188">
        <v>4.5397962593983016E-2</v>
      </c>
      <c r="AT14" s="188">
        <v>5.0910361623951093E-2</v>
      </c>
      <c r="AU14" s="188">
        <v>8.8286099080104929E-2</v>
      </c>
      <c r="AV14" s="188">
        <v>7.6298339206592014E-2</v>
      </c>
      <c r="AW14" s="188">
        <v>5.587745148421519E-2</v>
      </c>
      <c r="AX14" s="188">
        <v>0.10686117709955611</v>
      </c>
      <c r="AY14" s="188">
        <v>3.5958610223409029E-2</v>
      </c>
      <c r="AZ14" s="188">
        <v>2.169589178965713E-2</v>
      </c>
      <c r="BA14" s="188">
        <v>8.3004920450693367E-2</v>
      </c>
      <c r="BB14" s="188">
        <v>0.26691026886192309</v>
      </c>
      <c r="BC14" s="188">
        <v>5.0983534831844375E-2</v>
      </c>
      <c r="BD14" s="188">
        <v>4.7E-2</v>
      </c>
      <c r="BE14" s="188">
        <v>0.15</v>
      </c>
      <c r="BF14" s="188">
        <v>0.03</v>
      </c>
      <c r="BG14" s="188">
        <v>6.3580475393769778E-2</v>
      </c>
      <c r="BH14" s="188">
        <v>3.6596329061038983E-2</v>
      </c>
      <c r="BI14" s="188">
        <v>1.9066949447723497E-2</v>
      </c>
      <c r="BJ14" s="188">
        <v>0.1224828513502583</v>
      </c>
      <c r="BK14" s="188">
        <v>1.534117025994659E-2</v>
      </c>
      <c r="BL14" s="188">
        <v>0.34840588101953884</v>
      </c>
      <c r="BM14" s="188">
        <v>4.4999999999999998E-2</v>
      </c>
      <c r="BN14" s="188">
        <v>0.1</v>
      </c>
      <c r="BO14" s="188">
        <v>0.06</v>
      </c>
      <c r="BP14" s="188">
        <v>0.03</v>
      </c>
      <c r="BQ14" s="188">
        <v>0.04</v>
      </c>
      <c r="BR14" s="188">
        <v>7.5999999999999998E-2</v>
      </c>
      <c r="BS14" s="188">
        <v>0.11</v>
      </c>
      <c r="BT14" s="188">
        <v>0.17</v>
      </c>
      <c r="BU14" s="188">
        <v>0.1</v>
      </c>
      <c r="BV14" s="188">
        <v>0.17</v>
      </c>
      <c r="BW14" s="188">
        <v>0.06</v>
      </c>
      <c r="BX14" s="188">
        <v>0.06</v>
      </c>
      <c r="BY14" s="188">
        <v>0.12</v>
      </c>
      <c r="BZ14" s="188">
        <v>0.11</v>
      </c>
      <c r="CA14" s="188">
        <v>0.05</v>
      </c>
      <c r="CB14" s="188">
        <v>0.08</v>
      </c>
      <c r="CC14" s="188">
        <v>0.12</v>
      </c>
      <c r="CD14" s="188">
        <v>8.1215969119865866E-2</v>
      </c>
      <c r="CE14" s="188">
        <v>5.8999999999999997E-2</v>
      </c>
      <c r="CF14" s="188">
        <v>0.09</v>
      </c>
      <c r="CG14" s="188">
        <v>0.02</v>
      </c>
      <c r="CH14" s="188">
        <v>0.03</v>
      </c>
      <c r="CI14" s="188">
        <v>2.1000000000000001E-2</v>
      </c>
      <c r="CJ14" s="188">
        <v>1.2850105273656324E-2</v>
      </c>
      <c r="CK14" s="188">
        <v>0.03</v>
      </c>
      <c r="CL14" s="188">
        <v>6.6000000000000003E-2</v>
      </c>
    </row>
    <row r="15" spans="1:90" x14ac:dyDescent="0.2">
      <c r="A15" t="s">
        <v>182</v>
      </c>
      <c r="B15" s="188">
        <v>9.0446045331703338E-3</v>
      </c>
      <c r="C15" s="188">
        <v>1.2658663140955793E-2</v>
      </c>
      <c r="D15" s="188">
        <v>1.5649894891360944E-2</v>
      </c>
      <c r="E15" s="188">
        <v>1.9989579227683407E-2</v>
      </c>
      <c r="F15" s="188">
        <v>1.8550651310696456E-2</v>
      </c>
      <c r="G15" s="188">
        <v>2.345114209542816E-2</v>
      </c>
      <c r="H15" s="188">
        <v>1.7838785651848592E-2</v>
      </c>
      <c r="I15" s="188">
        <v>2.0800810696138868E-2</v>
      </c>
      <c r="J15" s="188">
        <v>1.9260980301730915E-2</v>
      </c>
      <c r="K15" s="188">
        <v>1.4481270623687459E-2</v>
      </c>
      <c r="L15" s="188">
        <v>1.5686144857082963E-2</v>
      </c>
      <c r="M15" s="188">
        <v>1.7479293339072208E-2</v>
      </c>
      <c r="N15" s="188">
        <v>1.5924709209232599E-2</v>
      </c>
      <c r="O15" s="188">
        <v>1.5555162463023128E-2</v>
      </c>
      <c r="P15" s="188">
        <v>1.2864720761272385E-2</v>
      </c>
      <c r="Q15" s="188">
        <v>1.7143564986875394E-2</v>
      </c>
      <c r="R15" s="188">
        <v>4.9000000000000002E-2</v>
      </c>
      <c r="S15" s="188">
        <v>4.9000000000000002E-2</v>
      </c>
      <c r="T15" s="188">
        <v>0.05</v>
      </c>
      <c r="U15" s="188">
        <v>7.9828726297198338E-2</v>
      </c>
      <c r="V15" s="188">
        <v>3.4000000000000002E-2</v>
      </c>
      <c r="W15" s="188">
        <v>4.9000000000000002E-2</v>
      </c>
      <c r="X15" s="188">
        <v>6.6000000000000003E-2</v>
      </c>
      <c r="Y15" s="188">
        <v>4.8000000000000001E-2</v>
      </c>
      <c r="Z15" s="188">
        <v>8.7999999999999995E-2</v>
      </c>
      <c r="AA15" s="188">
        <v>5.8999999999999997E-2</v>
      </c>
      <c r="AB15" s="188">
        <v>8.0295060074481381E-2</v>
      </c>
      <c r="AC15" s="188">
        <v>0</v>
      </c>
      <c r="AD15" s="188">
        <v>8.6016352394840859E-2</v>
      </c>
      <c r="AE15" s="188">
        <v>6.8991767059924547E-2</v>
      </c>
      <c r="AF15" s="188">
        <v>0</v>
      </c>
      <c r="AG15" s="188">
        <v>5.6648538420028413E-2</v>
      </c>
      <c r="AH15" s="188">
        <v>0.11364843637120982</v>
      </c>
      <c r="AI15" s="188">
        <v>3.2362261586564037E-2</v>
      </c>
      <c r="AJ15" s="188">
        <v>0.20664110576931188</v>
      </c>
      <c r="AK15" s="188">
        <v>0.1434965034965035</v>
      </c>
      <c r="AL15" s="188">
        <v>0.13888075123535001</v>
      </c>
      <c r="AM15" s="188">
        <v>4.8515527439782415E-2</v>
      </c>
      <c r="AN15" s="188">
        <v>0.21650741721797623</v>
      </c>
      <c r="AO15" s="188">
        <v>4.3462167317427608E-2</v>
      </c>
      <c r="AP15" s="188">
        <v>4.3256937514199255E-2</v>
      </c>
      <c r="AQ15" s="188">
        <v>0.05</v>
      </c>
      <c r="AR15" s="188">
        <v>0.04</v>
      </c>
      <c r="AS15" s="188">
        <v>4.473767193653045E-2</v>
      </c>
      <c r="AT15" s="188">
        <v>6.5080958600715472E-2</v>
      </c>
      <c r="AU15" s="188">
        <v>8.3152034860978649E-2</v>
      </c>
      <c r="AV15" s="188">
        <v>9.799044468992843E-2</v>
      </c>
      <c r="AW15" s="188">
        <v>6.7156397273038987E-2</v>
      </c>
      <c r="AX15" s="188">
        <v>9.846211183923094E-2</v>
      </c>
      <c r="AY15" s="188">
        <v>6.6343783778927176E-2</v>
      </c>
      <c r="AZ15" s="188">
        <v>2.7015317046936181E-2</v>
      </c>
      <c r="BA15" s="188">
        <v>9.6570825029158605E-2</v>
      </c>
      <c r="BB15" s="188">
        <v>0.27156913879094158</v>
      </c>
      <c r="BC15" s="188">
        <v>4.4888865705937822E-2</v>
      </c>
      <c r="BD15" s="188">
        <v>0.04</v>
      </c>
      <c r="BE15" s="188">
        <v>0.15</v>
      </c>
      <c r="BF15" s="188">
        <v>0.13</v>
      </c>
      <c r="BG15" s="188">
        <v>7.6010430097619167E-2</v>
      </c>
      <c r="BH15" s="188">
        <v>3.3242790566819884E-2</v>
      </c>
      <c r="BI15" s="188">
        <v>1.0993627882397456E-2</v>
      </c>
      <c r="BJ15" s="188">
        <v>0.11896106550459738</v>
      </c>
      <c r="BK15" s="188">
        <v>1.3599236118593504E-2</v>
      </c>
      <c r="BL15" s="188">
        <v>0.3062516653308105</v>
      </c>
      <c r="BM15" s="188">
        <v>4.8000000000000001E-2</v>
      </c>
      <c r="BN15" s="188">
        <v>0.1</v>
      </c>
      <c r="BO15" s="188">
        <v>0.06</v>
      </c>
      <c r="BP15" s="188">
        <v>0.04</v>
      </c>
      <c r="BQ15" s="188">
        <v>0.05</v>
      </c>
      <c r="BR15" s="188">
        <v>8.1000000000000003E-2</v>
      </c>
      <c r="BS15" s="188">
        <v>0.11</v>
      </c>
      <c r="BT15" s="188">
        <v>0.17</v>
      </c>
      <c r="BU15" s="188">
        <v>0.1</v>
      </c>
      <c r="BV15" s="188">
        <v>0.17</v>
      </c>
      <c r="BW15" s="188">
        <v>0.08</v>
      </c>
      <c r="BX15" s="188">
        <v>0.06</v>
      </c>
      <c r="BY15" s="188">
        <v>0.12</v>
      </c>
      <c r="BZ15" s="188">
        <v>0.11</v>
      </c>
      <c r="CA15" s="188">
        <v>0.05</v>
      </c>
      <c r="CB15" s="188">
        <v>0.09</v>
      </c>
      <c r="CC15" s="188">
        <v>0.12</v>
      </c>
      <c r="CD15" s="188">
        <v>0.08</v>
      </c>
      <c r="CE15" s="188">
        <v>5.7000000000000002E-2</v>
      </c>
      <c r="CF15" s="188">
        <v>0.1</v>
      </c>
      <c r="CG15" s="188">
        <v>0.03</v>
      </c>
      <c r="CH15" s="188">
        <v>0.02</v>
      </c>
      <c r="CI15" s="188">
        <v>2.1000000000000001E-2</v>
      </c>
      <c r="CJ15" s="188">
        <v>1.7356808169752609E-2</v>
      </c>
      <c r="CK15" s="188">
        <v>0.04</v>
      </c>
      <c r="CL15" s="188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037F-1101-2744-BF24-0798059F01FB}">
  <sheetPr codeName="Sheet1"/>
  <dimension ref="A1:O90"/>
  <sheetViews>
    <sheetView workbookViewId="0">
      <selection sqref="A1:O90"/>
    </sheetView>
  </sheetViews>
  <sheetFormatPr baseColWidth="10" defaultRowHeight="16" x14ac:dyDescent="0.2"/>
  <cols>
    <col min="1" max="1" width="10.83203125" customWidth="1"/>
    <col min="4" max="4" width="14" customWidth="1"/>
    <col min="5" max="5" width="12.1640625" customWidth="1"/>
  </cols>
  <sheetData>
    <row r="1" spans="1:15" x14ac:dyDescent="0.2">
      <c r="A1" t="s">
        <v>169</v>
      </c>
      <c r="B1" t="str">
        <f>A_Entry_Forecast[[#Headers],[Rating]]</f>
        <v>Rating</v>
      </c>
      <c r="C1" t="s">
        <v>170</v>
      </c>
      <c r="D1" t="s">
        <v>173</v>
      </c>
      <c r="E1" t="s">
        <v>172</v>
      </c>
      <c r="F1" t="s">
        <v>171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</row>
    <row r="2" spans="1:15" x14ac:dyDescent="0.2">
      <c r="A2" t="str">
        <f>Rawdata!C8</f>
        <v>BID</v>
      </c>
      <c r="B2" t="str">
        <f>Rawdata!D8</f>
        <v>BUY</v>
      </c>
      <c r="C2" s="187">
        <f>Rawdata!E8</f>
        <v>45000</v>
      </c>
      <c r="D2" s="187">
        <f>Rawdata!F8</f>
        <v>86855.1000744255</v>
      </c>
      <c r="E2" s="187">
        <f>Rawdata!G8</f>
        <v>100748.4301860783</v>
      </c>
      <c r="F2" s="187">
        <f>Rawdata!I8</f>
        <v>26773.327429672256</v>
      </c>
      <c r="G2" s="187">
        <f>Rawdata!J8</f>
        <v>31143.589696173218</v>
      </c>
      <c r="H2" s="187">
        <f>Rawdata!L8</f>
        <v>3760.9871351297952</v>
      </c>
      <c r="I2" s="187">
        <f>Rawdata!M8</f>
        <v>4202.5156144183293</v>
      </c>
      <c r="J2" s="187">
        <f>Rawdata!O8</f>
        <v>26098.275881812111</v>
      </c>
      <c r="K2" s="187">
        <f>Rawdata!P8</f>
        <v>29272.437789332267</v>
      </c>
      <c r="L2" s="188">
        <f>Rawdata!U8</f>
        <v>0.16452466027540713</v>
      </c>
      <c r="M2" s="188">
        <f>Rawdata!V8</f>
        <v>0.15466813061425069</v>
      </c>
      <c r="N2" s="188">
        <f>Rawdata!R8</f>
        <v>8.9920401673562779E-3</v>
      </c>
      <c r="O2" s="188">
        <f>Rawdata!S8</f>
        <v>9.0446045331703338E-3</v>
      </c>
    </row>
    <row r="3" spans="1:15" x14ac:dyDescent="0.2">
      <c r="A3" t="str">
        <f>Rawdata!C9</f>
        <v>CTG</v>
      </c>
      <c r="B3" t="str">
        <f>Rawdata!D9</f>
        <v>BUY</v>
      </c>
      <c r="C3" s="187">
        <f>Rawdata!E9</f>
        <v>52500</v>
      </c>
      <c r="D3" s="187">
        <f>Rawdata!F9</f>
        <v>92204.892055687786</v>
      </c>
      <c r="E3" s="187">
        <f>Rawdata!G9</f>
        <v>105994.33021209858</v>
      </c>
      <c r="F3" s="187">
        <f>Rawdata!I9</f>
        <v>29994.82138269697</v>
      </c>
      <c r="G3" s="187">
        <f>Rawdata!J9</f>
        <v>36534.266869857085</v>
      </c>
      <c r="H3" s="187">
        <f>Rawdata!L9</f>
        <v>5585.6364013721695</v>
      </c>
      <c r="I3" s="187">
        <f>Rawdata!M9</f>
        <v>5803.9341934027643</v>
      </c>
      <c r="J3" s="187">
        <f>Rawdata!O9</f>
        <v>33059.417726072999</v>
      </c>
      <c r="K3" s="187">
        <f>Rawdata!P9</f>
        <v>34006.648059956926</v>
      </c>
      <c r="L3" s="188">
        <f>Rawdata!U9</f>
        <v>0.1845478675821203</v>
      </c>
      <c r="M3" s="188">
        <f>Rawdata!V9</f>
        <v>0.18659359342920265</v>
      </c>
      <c r="N3" s="188">
        <f>Rawdata!R9</f>
        <v>1.1769471858785635E-2</v>
      </c>
      <c r="O3" s="188">
        <f>Rawdata!S9</f>
        <v>1.2658663140955793E-2</v>
      </c>
    </row>
    <row r="4" spans="1:15" x14ac:dyDescent="0.2">
      <c r="A4" t="str">
        <f>Rawdata!C10</f>
        <v>VCB</v>
      </c>
      <c r="B4" t="str">
        <f>Rawdata!D10</f>
        <v>BUY</v>
      </c>
      <c r="C4" s="187">
        <f>Rawdata!E10</f>
        <v>76000</v>
      </c>
      <c r="D4" s="187">
        <f>Rawdata!F10</f>
        <v>74171.353631118312</v>
      </c>
      <c r="E4" s="187">
        <f>Rawdata!G10</f>
        <v>85650.801557819068</v>
      </c>
      <c r="F4" s="187">
        <f>Rawdata!I10</f>
        <v>35307.008256770489</v>
      </c>
      <c r="G4" s="187">
        <f>Rawdata!J10</f>
        <v>41707.745964231573</v>
      </c>
      <c r="H4" s="187">
        <f>Rawdata!L10</f>
        <v>4225.5040704656722</v>
      </c>
      <c r="I4" s="187">
        <f>Rawdata!M10</f>
        <v>4991.5373474900289</v>
      </c>
      <c r="J4" s="187">
        <f>Rawdata!O10</f>
        <v>27696.081944773348</v>
      </c>
      <c r="K4" s="187">
        <f>Rawdata!P10</f>
        <v>36959.264465387372</v>
      </c>
      <c r="L4" s="188">
        <f>Rawdata!U10</f>
        <v>0.16516630498869897</v>
      </c>
      <c r="M4" s="188">
        <f>Rawdata!V10</f>
        <v>0.15440447309104816</v>
      </c>
      <c r="N4" s="188">
        <f>Rawdata!R10</f>
        <v>1.5613356954423546E-2</v>
      </c>
      <c r="O4" s="188">
        <f>Rawdata!S10</f>
        <v>1.5649894891360944E-2</v>
      </c>
    </row>
    <row r="5" spans="1:15" x14ac:dyDescent="0.2">
      <c r="A5" t="str">
        <f>Rawdata!C11</f>
        <v>HDB</v>
      </c>
      <c r="B5" t="str">
        <f>Rawdata!D11</f>
        <v>BUY</v>
      </c>
      <c r="C5" s="187">
        <f>Rawdata!E11</f>
        <v>31000</v>
      </c>
      <c r="D5" s="187">
        <f>Rawdata!F11</f>
        <v>40259.70048167809</v>
      </c>
      <c r="E5" s="187">
        <f>Rawdata!G11</f>
        <v>49782.049538912863</v>
      </c>
      <c r="F5" s="187">
        <f>Rawdata!I11</f>
        <v>15580.847412318082</v>
      </c>
      <c r="G5" s="187">
        <f>Rawdata!J11</f>
        <v>19865.032604090389</v>
      </c>
      <c r="H5" s="187">
        <f>Rawdata!L11</f>
        <v>3712.2983809866296</v>
      </c>
      <c r="I5" s="187">
        <f>Rawdata!M11</f>
        <v>3941.8475216989518</v>
      </c>
      <c r="J5" s="187">
        <f>Rawdata!O11</f>
        <v>16695.368434359723</v>
      </c>
      <c r="K5" s="187">
        <f>Rawdata!P11</f>
        <v>17846.327296673</v>
      </c>
      <c r="L5" s="188">
        <f>Rawdata!U11</f>
        <v>0.25016803916557312</v>
      </c>
      <c r="M5" s="188">
        <f>Rawdata!V11</f>
        <v>0.24829904403979983</v>
      </c>
      <c r="N5" s="188">
        <f>Rawdata!R11</f>
        <v>1.972471215131397E-2</v>
      </c>
      <c r="O5" s="188">
        <f>Rawdata!S11</f>
        <v>1.9989579227683407E-2</v>
      </c>
    </row>
    <row r="6" spans="1:15" x14ac:dyDescent="0.2">
      <c r="A6" t="str">
        <f>Rawdata!C12</f>
        <v>MBB</v>
      </c>
      <c r="B6" t="str">
        <f>Rawdata!D12</f>
        <v>BUY</v>
      </c>
      <c r="C6" s="187">
        <f>Rawdata!E12</f>
        <v>33000</v>
      </c>
      <c r="D6" s="187">
        <f>Rawdata!F12</f>
        <v>65788.201216608155</v>
      </c>
      <c r="E6" s="187">
        <f>Rawdata!G12</f>
        <v>82056.214269834163</v>
      </c>
      <c r="F6" s="187">
        <f>Rawdata!I12</f>
        <v>25355.978521644683</v>
      </c>
      <c r="G6" s="187">
        <f>Rawdata!J12</f>
        <v>30675.761793325299</v>
      </c>
      <c r="H6" s="187">
        <f>Rawdata!L12</f>
        <v>3613.1769716870454</v>
      </c>
      <c r="I6" s="187">
        <f>Rawdata!M12</f>
        <v>4371.2356044940752</v>
      </c>
      <c r="J6" s="187">
        <f>Rawdata!O12</f>
        <v>19159.362996578991</v>
      </c>
      <c r="K6" s="187">
        <f>Rawdata!P12</f>
        <v>23530.59860107307</v>
      </c>
      <c r="L6" s="188">
        <f>Rawdata!U12</f>
        <v>0.20564273460145485</v>
      </c>
      <c r="M6" s="188">
        <f>Rawdata!V12</f>
        <v>0.20478985882875525</v>
      </c>
      <c r="N6" s="188">
        <f>Rawdata!R12</f>
        <v>1.968972797317381E-2</v>
      </c>
      <c r="O6" s="188">
        <f>Rawdata!S12</f>
        <v>1.8550651310696456E-2</v>
      </c>
    </row>
    <row r="7" spans="1:15" x14ac:dyDescent="0.2">
      <c r="A7" t="str">
        <f>Rawdata!C13</f>
        <v>TCB</v>
      </c>
      <c r="B7" t="str">
        <f>Rawdata!D13</f>
        <v>BUY</v>
      </c>
      <c r="C7" s="187">
        <f>Rawdata!E13</f>
        <v>42000</v>
      </c>
      <c r="D7" s="187">
        <f>Rawdata!F13</f>
        <v>54304.020590139357</v>
      </c>
      <c r="E7" s="187">
        <f>Rawdata!G13</f>
        <v>65366.619824835652</v>
      </c>
      <c r="F7" s="187">
        <f>Rawdata!I13</f>
        <v>24829.701018144166</v>
      </c>
      <c r="G7" s="187">
        <f>Rawdata!J13</f>
        <v>30000.567467818026</v>
      </c>
      <c r="H7" s="187">
        <f>Rawdata!L13</f>
        <v>3511.8801322430218</v>
      </c>
      <c r="I7" s="187">
        <f>Rawdata!M13</f>
        <v>4233.6299319859691</v>
      </c>
      <c r="J7" s="187">
        <f>Rawdata!O13</f>
        <v>23110.798015397926</v>
      </c>
      <c r="K7" s="187">
        <f>Rawdata!P13</f>
        <v>26591.297984133518</v>
      </c>
      <c r="L7" s="188">
        <f>Rawdata!U13</f>
        <v>0.16080519018416684</v>
      </c>
      <c r="M7" s="188">
        <f>Rawdata!V13</f>
        <v>0.1705398246007451</v>
      </c>
      <c r="N7" s="188">
        <f>Rawdata!R13</f>
        <v>2.3218685243105268E-2</v>
      </c>
      <c r="O7" s="188">
        <f>Rawdata!S13</f>
        <v>2.345114209542816E-2</v>
      </c>
    </row>
    <row r="8" spans="1:15" x14ac:dyDescent="0.2">
      <c r="A8" t="str">
        <f>Rawdata!C14</f>
        <v>VPB</v>
      </c>
      <c r="B8" t="str">
        <f>Rawdata!D14</f>
        <v>BUY</v>
      </c>
      <c r="C8" s="187">
        <f>Rawdata!E14</f>
        <v>27000</v>
      </c>
      <c r="D8" s="187">
        <f>Rawdata!F14</f>
        <v>70386.133443821134</v>
      </c>
      <c r="E8" s="187">
        <f>Rawdata!G14</f>
        <v>83310.406106069961</v>
      </c>
      <c r="F8" s="187">
        <f>Rawdata!I14</f>
        <v>18274.46601951967</v>
      </c>
      <c r="G8" s="187">
        <f>Rawdata!J14</f>
        <v>21970.000508621073</v>
      </c>
      <c r="H8" s="187">
        <f>Rawdata!L14</f>
        <v>2303.3395958506753</v>
      </c>
      <c r="I8" s="187">
        <f>Rawdata!M14</f>
        <v>2769.1300002043226</v>
      </c>
      <c r="J8" s="187">
        <f>Rawdata!O14</f>
        <v>19689.243753957031</v>
      </c>
      <c r="K8" s="187">
        <f>Rawdata!P14</f>
        <v>21458.373754161348</v>
      </c>
      <c r="L8" s="188">
        <f>Rawdata!U14</f>
        <v>0.12259909668172961</v>
      </c>
      <c r="M8" s="188">
        <f>Rawdata!V14</f>
        <v>0.13459491304243681</v>
      </c>
      <c r="N8" s="188">
        <f>Rawdata!R14</f>
        <v>1.8052079341840031E-2</v>
      </c>
      <c r="O8" s="188">
        <f>Rawdata!S14</f>
        <v>1.7838785651848592E-2</v>
      </c>
    </row>
    <row r="9" spans="1:15" x14ac:dyDescent="0.2">
      <c r="A9" t="str">
        <f>Rawdata!C15</f>
        <v>ACB</v>
      </c>
      <c r="B9" t="str">
        <f>Rawdata!D15</f>
        <v>BUY</v>
      </c>
      <c r="C9" s="187">
        <f>Rawdata!E15</f>
        <v>26400</v>
      </c>
      <c r="D9" s="187">
        <f>Rawdata!F15</f>
        <v>37297.511763940369</v>
      </c>
      <c r="E9" s="187">
        <f>Rawdata!G15</f>
        <v>42675.060638137933</v>
      </c>
      <c r="F9" s="187">
        <f>Rawdata!I15</f>
        <v>18939.742516247694</v>
      </c>
      <c r="G9" s="187">
        <f>Rawdata!J15</f>
        <v>21965.659967010004</v>
      </c>
      <c r="H9" s="187">
        <f>Rawdata!L15</f>
        <v>4240.249172734877</v>
      </c>
      <c r="I9" s="187">
        <f>Rawdata!M15</f>
        <v>4917.6947059226695</v>
      </c>
      <c r="J9" s="187">
        <f>Rawdata!O15</f>
        <v>21692.616248871138</v>
      </c>
      <c r="K9" s="187">
        <f>Rawdata!P15</f>
        <v>25084.815587059042</v>
      </c>
      <c r="L9" s="188">
        <f>Rawdata!U15</f>
        <v>0.21002715792584398</v>
      </c>
      <c r="M9" s="188">
        <f>Rawdata!V15</f>
        <v>0.21025928585268519</v>
      </c>
      <c r="N9" s="188">
        <f>Rawdata!R15</f>
        <v>2.0531521247191702E-2</v>
      </c>
      <c r="O9" s="188">
        <f>Rawdata!S15</f>
        <v>2.0800810696138868E-2</v>
      </c>
    </row>
    <row r="10" spans="1:15" x14ac:dyDescent="0.2">
      <c r="A10" t="str">
        <f>Rawdata!C16</f>
        <v>MSB</v>
      </c>
      <c r="B10" t="str">
        <f>Rawdata!D16</f>
        <v>HOLD</v>
      </c>
      <c r="C10" s="187">
        <f>Rawdata!E16</f>
        <v>14000</v>
      </c>
      <c r="D10" s="187">
        <f>Rawdata!F16</f>
        <v>15880.373570939968</v>
      </c>
      <c r="E10" s="187">
        <f>Rawdata!G16</f>
        <v>18011.716757158676</v>
      </c>
      <c r="F10" s="187">
        <f>Rawdata!I16</f>
        <v>6436.1290613502633</v>
      </c>
      <c r="G10" s="187">
        <f>Rawdata!J16</f>
        <v>7496.3334247800158</v>
      </c>
      <c r="H10" s="187">
        <f>Rawdata!L16</f>
        <v>2475.4342543654861</v>
      </c>
      <c r="I10" s="187">
        <f>Rawdata!M16</f>
        <v>2883.2051633769292</v>
      </c>
      <c r="J10" s="187">
        <f>Rawdata!O16</f>
        <v>15964.999615384617</v>
      </c>
      <c r="K10" s="187">
        <f>Rawdata!P16</f>
        <v>18390.925184662792</v>
      </c>
      <c r="L10" s="188">
        <f>Rawdata!U16</f>
        <v>0.1643409117806455</v>
      </c>
      <c r="M10" s="188">
        <f>Rawdata!V16</f>
        <v>0.16784325732212285</v>
      </c>
      <c r="N10" s="188">
        <f>Rawdata!R16</f>
        <v>1.8940010630577677E-2</v>
      </c>
      <c r="O10" s="188">
        <f>Rawdata!S16</f>
        <v>1.9260980301730915E-2</v>
      </c>
    </row>
    <row r="11" spans="1:15" x14ac:dyDescent="0.2">
      <c r="A11" t="str">
        <f>Rawdata!C17</f>
        <v>STB</v>
      </c>
      <c r="B11" t="str">
        <f>Rawdata!D17</f>
        <v>HOLD</v>
      </c>
      <c r="C11" s="187">
        <f>Rawdata!E17</f>
        <v>49000</v>
      </c>
      <c r="D11" s="187">
        <f>Rawdata!F17</f>
        <v>32623.843639521987</v>
      </c>
      <c r="E11" s="187">
        <f>Rawdata!G17</f>
        <v>37000.293942201752</v>
      </c>
      <c r="F11" s="187">
        <f>Rawdata!I17</f>
        <v>11837.216654294734</v>
      </c>
      <c r="G11" s="187">
        <f>Rawdata!J17</f>
        <v>13648.491479486198</v>
      </c>
      <c r="H11" s="187">
        <f>Rawdata!L17</f>
        <v>6278.9719785545931</v>
      </c>
      <c r="I11" s="187">
        <f>Rawdata!M17</f>
        <v>7239.7505302179425</v>
      </c>
      <c r="J11" s="187">
        <f>Rawdata!O17</f>
        <v>33615.288405541811</v>
      </c>
      <c r="K11" s="187">
        <f>Rawdata!P17</f>
        <v>37752.745956845189</v>
      </c>
      <c r="L11" s="188">
        <f>Rawdata!U17</f>
        <v>0.20004736447947036</v>
      </c>
      <c r="M11" s="188">
        <f>Rawdata!V17</f>
        <v>0.20288496369275089</v>
      </c>
      <c r="N11" s="188">
        <f>Rawdata!R17</f>
        <v>1.4979945289375901E-2</v>
      </c>
      <c r="O11" s="188">
        <f>Rawdata!S17</f>
        <v>1.4481270623687459E-2</v>
      </c>
    </row>
    <row r="12" spans="1:15" x14ac:dyDescent="0.2">
      <c r="A12" t="str">
        <f>Rawdata!C18</f>
        <v>TPB</v>
      </c>
      <c r="B12" t="str">
        <f>Rawdata!D18</f>
        <v>HOLD</v>
      </c>
      <c r="C12" s="187">
        <f>Rawdata!E18</f>
        <v>15500</v>
      </c>
      <c r="D12" s="187">
        <f>Rawdata!F18</f>
        <v>19423.167839243109</v>
      </c>
      <c r="E12" s="187">
        <f>Rawdata!G18</f>
        <v>21759.822169529532</v>
      </c>
      <c r="F12" s="187">
        <f>Rawdata!I18</f>
        <v>6816.0783576752192</v>
      </c>
      <c r="G12" s="187">
        <f>Rawdata!J18</f>
        <v>7932.9675332450806</v>
      </c>
      <c r="H12" s="187">
        <f>Rawdata!L18</f>
        <v>2579.936169144371</v>
      </c>
      <c r="I12" s="187">
        <f>Rawdata!M18</f>
        <v>3002.6869988401322</v>
      </c>
      <c r="J12" s="187">
        <f>Rawdata!O18</f>
        <v>15483.397983660743</v>
      </c>
      <c r="K12" s="187">
        <f>Rawdata!P18</f>
        <v>17011.735429422228</v>
      </c>
      <c r="L12" s="188">
        <f>Rawdata!U18</f>
        <v>0.17365191686360806</v>
      </c>
      <c r="M12" s="188">
        <f>Rawdata!V18</f>
        <v>0.18480841181167212</v>
      </c>
      <c r="N12" s="188">
        <f>Rawdata!R18</f>
        <v>1.5682870450842486E-2</v>
      </c>
      <c r="O12" s="188">
        <f>Rawdata!S18</f>
        <v>1.5686144857082963E-2</v>
      </c>
    </row>
    <row r="13" spans="1:15" x14ac:dyDescent="0.2">
      <c r="A13" t="str">
        <f>Rawdata!C19</f>
        <v>VIB</v>
      </c>
      <c r="B13" t="str">
        <f>Rawdata!D19</f>
        <v>BUY</v>
      </c>
      <c r="C13" s="187">
        <f>Rawdata!E19</f>
        <v>22200</v>
      </c>
      <c r="D13" s="187">
        <f>Rawdata!F19</f>
        <v>22804.392096362135</v>
      </c>
      <c r="E13" s="187">
        <f>Rawdata!G19</f>
        <v>26838.704256264256</v>
      </c>
      <c r="F13" s="187">
        <f>Rawdata!I19</f>
        <v>8744.8515110049193</v>
      </c>
      <c r="G13" s="187">
        <f>Rawdata!J19</f>
        <v>10812.779170868323</v>
      </c>
      <c r="H13" s="187">
        <f>Rawdata!L19</f>
        <v>2935.3730682533724</v>
      </c>
      <c r="I13" s="187">
        <f>Rawdata!M19</f>
        <v>3629.5116882425536</v>
      </c>
      <c r="J13" s="187">
        <f>Rawdata!O19</f>
        <v>16421.646516809386</v>
      </c>
      <c r="K13" s="187">
        <f>Rawdata!P19</f>
        <v>19298.312123697691</v>
      </c>
      <c r="L13" s="188">
        <f>Rawdata!U19</f>
        <v>0.19265184409179931</v>
      </c>
      <c r="M13" s="188">
        <f>Rawdata!V19</f>
        <v>0.20322037462420925</v>
      </c>
      <c r="N13" s="188">
        <f>Rawdata!R19</f>
        <v>1.6421618542765075E-2</v>
      </c>
      <c r="O13" s="188">
        <f>Rawdata!S19</f>
        <v>1.7479293339072208E-2</v>
      </c>
    </row>
    <row r="14" spans="1:15" x14ac:dyDescent="0.2">
      <c r="A14" t="str">
        <f>Rawdata!C20</f>
        <v>EIB</v>
      </c>
      <c r="B14" t="str">
        <f>Rawdata!D20</f>
        <v>HOLD</v>
      </c>
      <c r="C14" s="187">
        <f>Rawdata!E20</f>
        <v>25200</v>
      </c>
      <c r="D14" s="187">
        <f>Rawdata!F20</f>
        <v>9980.2663634936544</v>
      </c>
      <c r="E14" s="187">
        <f>Rawdata!G20</f>
        <v>11529.371305199526</v>
      </c>
      <c r="F14" s="187">
        <f>Rawdata!I20</f>
        <v>4062.3505461573382</v>
      </c>
      <c r="G14" s="187">
        <f>Rawdata!J20</f>
        <v>4734.751873124429</v>
      </c>
      <c r="H14" s="187">
        <f>Rawdata!L20</f>
        <v>2173.762577201423</v>
      </c>
      <c r="I14" s="187">
        <f>Rawdata!M20</f>
        <v>2533.5643286293584</v>
      </c>
      <c r="J14" s="187">
        <f>Rawdata!O20</f>
        <v>14943.830798048768</v>
      </c>
      <c r="K14" s="187">
        <f>Rawdata!P20</f>
        <v>16791.528988669979</v>
      </c>
      <c r="L14" s="188">
        <f>Rawdata!U20</f>
        <v>0.15321936154917984</v>
      </c>
      <c r="M14" s="188">
        <f>Rawdata!V20</f>
        <v>0.15966822784783147</v>
      </c>
      <c r="N14" s="188">
        <f>Rawdata!R20</f>
        <v>1.591796285912336E-2</v>
      </c>
      <c r="O14" s="188">
        <f>Rawdata!S20</f>
        <v>1.5924709209232599E-2</v>
      </c>
    </row>
    <row r="15" spans="1:15" x14ac:dyDescent="0.2">
      <c r="A15" t="str">
        <f>Rawdata!C21</f>
        <v>NAB</v>
      </c>
      <c r="B15" t="str">
        <f>Rawdata!D21</f>
        <v>HOLD</v>
      </c>
      <c r="C15" s="187">
        <f>Rawdata!E21</f>
        <v>19500</v>
      </c>
      <c r="D15" s="187">
        <f>Rawdata!F21</f>
        <v>10350.989938024471</v>
      </c>
      <c r="E15" s="187">
        <f>Rawdata!G21</f>
        <v>11753.209268865779</v>
      </c>
      <c r="F15" s="187">
        <f>Rawdata!I21</f>
        <v>4165</v>
      </c>
      <c r="G15" s="187">
        <f>Rawdata!J21</f>
        <v>4715.6641083856694</v>
      </c>
      <c r="H15" s="187">
        <f>Rawdata!L21</f>
        <v>3149</v>
      </c>
      <c r="I15" s="187">
        <f>Rawdata!M21</f>
        <v>3565.5832570550288</v>
      </c>
      <c r="J15" s="187">
        <f>Rawdata!O21</f>
        <v>17760</v>
      </c>
      <c r="K15" s="187">
        <f>Rawdata!P21</f>
        <v>21389.377469036528</v>
      </c>
      <c r="L15" s="188">
        <f>Rawdata!U21</f>
        <v>0.19500000000000001</v>
      </c>
      <c r="M15" s="188">
        <f>Rawdata!V21</f>
        <v>0.18215261978674765</v>
      </c>
      <c r="N15" s="188">
        <f>Rawdata!R21</f>
        <v>1.6E-2</v>
      </c>
      <c r="O15" s="188">
        <f>Rawdata!S21</f>
        <v>1.5555162463023128E-2</v>
      </c>
    </row>
    <row r="16" spans="1:15" x14ac:dyDescent="0.2">
      <c r="A16" t="str">
        <f>Rawdata!C22</f>
        <v>OCB</v>
      </c>
      <c r="B16" t="str">
        <f>Rawdata!D22</f>
        <v>HOLD</v>
      </c>
      <c r="C16" s="187">
        <f>Rawdata!E22</f>
        <v>13900</v>
      </c>
      <c r="D16" s="187">
        <f>Rawdata!F22</f>
        <v>11346.648089777505</v>
      </c>
      <c r="E16" s="187">
        <f>Rawdata!G22</f>
        <v>13116.430593131912</v>
      </c>
      <c r="F16" s="187">
        <f>Rawdata!I22</f>
        <v>3887.0188702418991</v>
      </c>
      <c r="G16" s="187">
        <f>Rawdata!J22</f>
        <v>4501.5981394156097</v>
      </c>
      <c r="H16" s="187">
        <f>Rawdata!L22</f>
        <v>1576.3792565512506</v>
      </c>
      <c r="I16" s="187">
        <f>Rawdata!M22</f>
        <v>1825.6216821151825</v>
      </c>
      <c r="J16" s="187">
        <f>Rawdata!O22</f>
        <v>13938.602776406306</v>
      </c>
      <c r="K16" s="187">
        <f>Rawdata!P22</f>
        <v>15278.525144474868</v>
      </c>
      <c r="L16" s="188">
        <f>Rawdata!U22</f>
        <v>0.11771470094775008</v>
      </c>
      <c r="M16" s="188">
        <f>Rawdata!V22</f>
        <v>0.12496927740870996</v>
      </c>
      <c r="N16" s="188">
        <f>Rawdata!R22</f>
        <v>1.2843387615637207E-2</v>
      </c>
      <c r="O16" s="188">
        <f>Rawdata!S22</f>
        <v>1.2864720761272385E-2</v>
      </c>
    </row>
    <row r="17" spans="1:15" x14ac:dyDescent="0.2">
      <c r="A17" t="str">
        <f>Rawdata!C23</f>
        <v>SHB</v>
      </c>
      <c r="B17" t="str">
        <f>Rawdata!D23</f>
        <v>HOLD</v>
      </c>
      <c r="C17" s="187">
        <f>Rawdata!E23</f>
        <v>20100</v>
      </c>
      <c r="D17" s="187">
        <f>Rawdata!F23</f>
        <v>29629.842710464036</v>
      </c>
      <c r="E17" s="187">
        <f>Rawdata!G23</f>
        <v>35349.625088400826</v>
      </c>
      <c r="F17" s="187">
        <f>Rawdata!I23</f>
        <v>15995.42671920148</v>
      </c>
      <c r="G17" s="187">
        <f>Rawdata!J23</f>
        <v>19408.209153527452</v>
      </c>
      <c r="H17" s="187">
        <f>Rawdata!L23</f>
        <v>3294.5868863426267</v>
      </c>
      <c r="I17" s="187">
        <f>Rawdata!M23</f>
        <v>3997.5195715065347</v>
      </c>
      <c r="J17" s="187">
        <f>Rawdata!O23</f>
        <v>16990.254996070777</v>
      </c>
      <c r="K17" s="187">
        <f>Rawdata!P23</f>
        <v>19790.653849462011</v>
      </c>
      <c r="L17" s="188">
        <f>Rawdata!U23</f>
        <v>0.20629553412490578</v>
      </c>
      <c r="M17" s="188">
        <f>Rawdata!V23</f>
        <v>0.21736926557713659</v>
      </c>
      <c r="N17" s="188">
        <f>Rawdata!R23</f>
        <v>1.6003329600009851E-2</v>
      </c>
      <c r="O17" s="188">
        <f>Rawdata!S23</f>
        <v>1.7143564986875394E-2</v>
      </c>
    </row>
    <row r="18" spans="1:15" x14ac:dyDescent="0.2">
      <c r="A18" t="str">
        <f>Rawdata!C24</f>
        <v>SSI</v>
      </c>
      <c r="B18" t="str">
        <f>Rawdata!D24</f>
        <v>BUY</v>
      </c>
      <c r="C18" s="187">
        <f>Rawdata!E24</f>
        <v>31200</v>
      </c>
      <c r="D18" s="187">
        <f>Rawdata!F24</f>
        <v>9571</v>
      </c>
      <c r="E18" s="187">
        <f>Rawdata!G24</f>
        <v>10815</v>
      </c>
      <c r="F18" s="187">
        <f>Rawdata!I24</f>
        <v>3285.7649999999999</v>
      </c>
      <c r="G18" s="187">
        <f>Rawdata!J24</f>
        <v>3791.77</v>
      </c>
      <c r="H18" s="187">
        <f>Rawdata!L24</f>
        <v>1654</v>
      </c>
      <c r="I18" s="187">
        <f>Rawdata!M24</f>
        <v>2348</v>
      </c>
      <c r="J18" s="187">
        <f>Rawdata!O24</f>
        <v>19800</v>
      </c>
      <c r="K18" s="187">
        <f>Rawdata!P24</f>
        <v>22084</v>
      </c>
      <c r="L18" s="188">
        <f>Rawdata!U24</f>
        <v>0.11700000000000001</v>
      </c>
      <c r="M18" s="188">
        <f>Rawdata!V24</f>
        <v>0.124</v>
      </c>
      <c r="N18" s="188">
        <f>Rawdata!R24</f>
        <v>4.8000000000000001E-2</v>
      </c>
      <c r="O18" s="188">
        <f>Rawdata!S24</f>
        <v>4.9000000000000002E-2</v>
      </c>
    </row>
    <row r="19" spans="1:15" x14ac:dyDescent="0.2">
      <c r="A19" t="str">
        <f>Rawdata!C25</f>
        <v>HCM</v>
      </c>
      <c r="B19" t="str">
        <f>Rawdata!D25</f>
        <v>BUY</v>
      </c>
      <c r="C19" s="187">
        <f>Rawdata!E25</f>
        <v>28000</v>
      </c>
      <c r="D19" s="187">
        <f>Rawdata!F25</f>
        <v>4864.38</v>
      </c>
      <c r="E19" s="187">
        <f>Rawdata!G25</f>
        <v>5788.61</v>
      </c>
      <c r="F19" s="187">
        <f>Rawdata!I25</f>
        <v>1175.855</v>
      </c>
      <c r="G19" s="187">
        <f>Rawdata!J25</f>
        <v>1376.9267</v>
      </c>
      <c r="H19" s="187">
        <f>Rawdata!L25</f>
        <v>1342.857</v>
      </c>
      <c r="I19" s="187">
        <f>Rawdata!M25</f>
        <v>1574</v>
      </c>
      <c r="J19" s="187">
        <f>Rawdata!O25</f>
        <v>16084.59</v>
      </c>
      <c r="K19" s="187">
        <f>Rawdata!P25</f>
        <v>17655.59</v>
      </c>
      <c r="L19" s="188">
        <f>Rawdata!U25</f>
        <v>0.115</v>
      </c>
      <c r="M19" s="188">
        <f>Rawdata!V25</f>
        <v>0.123</v>
      </c>
      <c r="N19" s="188">
        <f>Rawdata!R25</f>
        <v>4.5999999999999999E-2</v>
      </c>
      <c r="O19" s="188">
        <f>Rawdata!S25</f>
        <v>4.9000000000000002E-2</v>
      </c>
    </row>
    <row r="20" spans="1:15" x14ac:dyDescent="0.2">
      <c r="A20" t="str">
        <f>Rawdata!C26</f>
        <v>VCI</v>
      </c>
      <c r="B20" t="str">
        <f>Rawdata!D26</f>
        <v>HOLD</v>
      </c>
      <c r="C20" s="187">
        <f>Rawdata!E26</f>
        <v>42500</v>
      </c>
      <c r="D20" s="187">
        <f>Rawdata!F26</f>
        <v>4472</v>
      </c>
      <c r="E20" s="187">
        <f>Rawdata!G26</f>
        <v>5321.68</v>
      </c>
      <c r="F20" s="187">
        <f>Rawdata!I26</f>
        <v>1386</v>
      </c>
      <c r="G20" s="187">
        <f>Rawdata!J26</f>
        <v>1630</v>
      </c>
      <c r="H20" s="187">
        <f>Rawdata!L26</f>
        <v>1948</v>
      </c>
      <c r="I20" s="187">
        <f>Rawdata!M26</f>
        <v>2280</v>
      </c>
      <c r="J20" s="187">
        <f>Rawdata!O26</f>
        <v>20053</v>
      </c>
      <c r="K20" s="187">
        <f>Rawdata!P26</f>
        <v>22331.63</v>
      </c>
      <c r="L20" s="188">
        <f>Rawdata!U26</f>
        <v>0.10100000000000001</v>
      </c>
      <c r="M20" s="188">
        <f>Rawdata!V26</f>
        <v>0.11600000000000001</v>
      </c>
      <c r="N20" s="188">
        <f>Rawdata!R26</f>
        <v>4.8000000000000001E-2</v>
      </c>
      <c r="O20" s="188">
        <f>Rawdata!S26</f>
        <v>0.05</v>
      </c>
    </row>
    <row r="21" spans="1:15" x14ac:dyDescent="0.2">
      <c r="A21" t="str">
        <f>Rawdata!C27</f>
        <v>DXG</v>
      </c>
      <c r="B21" t="str">
        <f>Rawdata!D27</f>
        <v>BUY</v>
      </c>
      <c r="C21" s="187">
        <f>Rawdata!E27</f>
        <v>21900</v>
      </c>
      <c r="D21" s="187">
        <f>Rawdata!F27</f>
        <v>3146.8478812681124</v>
      </c>
      <c r="E21" s="187">
        <f>Rawdata!G27</f>
        <v>18030.777283141939</v>
      </c>
      <c r="F21" s="187">
        <f>Rawdata!I27</f>
        <v>223.50369845452948</v>
      </c>
      <c r="G21" s="187">
        <f>Rawdata!J27</f>
        <v>2673.3262392883389</v>
      </c>
      <c r="H21" s="187">
        <f>Rawdata!L27</f>
        <v>309.36869475529323</v>
      </c>
      <c r="I21" s="187">
        <f>Rawdata!M27</f>
        <v>3700.35688457284</v>
      </c>
      <c r="J21" s="187">
        <f>Rawdata!O27</f>
        <v>15504.364363094959</v>
      </c>
      <c r="K21" s="187">
        <f>Rawdata!P27</f>
        <v>19204.721247667785</v>
      </c>
      <c r="L21" s="188">
        <f>Rawdata!U27</f>
        <v>2.2910025023831413E-2</v>
      </c>
      <c r="M21" s="188">
        <f>Rawdata!V27</f>
        <v>0.21508706629196253</v>
      </c>
      <c r="N21" s="188">
        <f>Rawdata!R27</f>
        <v>1.1452492276944832E-2</v>
      </c>
      <c r="O21" s="188">
        <f>Rawdata!S27</f>
        <v>7.9828726297198338E-2</v>
      </c>
    </row>
    <row r="22" spans="1:15" x14ac:dyDescent="0.2">
      <c r="A22" t="str">
        <f>Rawdata!C29</f>
        <v>KDH</v>
      </c>
      <c r="B22" t="str">
        <f>Rawdata!D29</f>
        <v>BUY</v>
      </c>
      <c r="C22" s="187">
        <f>Rawdata!E29</f>
        <v>39900</v>
      </c>
      <c r="D22" s="187">
        <f>Rawdata!F29</f>
        <v>4540</v>
      </c>
      <c r="E22" s="187">
        <f>Rawdata!G29</f>
        <v>4637</v>
      </c>
      <c r="F22" s="187">
        <f>Rawdata!I29</f>
        <v>811</v>
      </c>
      <c r="G22" s="187">
        <f>Rawdata!J29</f>
        <v>1003</v>
      </c>
      <c r="H22" s="187">
        <f>Rawdata!L29</f>
        <v>756</v>
      </c>
      <c r="I22" s="187">
        <f>Rawdata!M29</f>
        <v>935</v>
      </c>
      <c r="J22" s="187">
        <f>Rawdata!O29</f>
        <v>18054</v>
      </c>
      <c r="K22" s="187">
        <f>Rawdata!P29</f>
        <v>19095</v>
      </c>
      <c r="L22" s="188">
        <f>Rawdata!U29</f>
        <v>6.7000000000000004E-2</v>
      </c>
      <c r="M22" s="188">
        <f>Rawdata!V29</f>
        <v>5.8000000000000003E-2</v>
      </c>
      <c r="N22" s="188">
        <f>Rawdata!R29</f>
        <v>4.2000000000000003E-2</v>
      </c>
      <c r="O22" s="188">
        <f>Rawdata!S29</f>
        <v>3.4000000000000002E-2</v>
      </c>
    </row>
    <row r="23" spans="1:15" x14ac:dyDescent="0.2">
      <c r="A23" t="str">
        <f>Rawdata!C30</f>
        <v>NLG</v>
      </c>
      <c r="B23" t="str">
        <f>Rawdata!D30</f>
        <v>BUY</v>
      </c>
      <c r="C23" s="187">
        <f>Rawdata!E30</f>
        <v>44400</v>
      </c>
      <c r="D23" s="187">
        <f>Rawdata!F30</f>
        <v>7061</v>
      </c>
      <c r="E23" s="187">
        <f>Rawdata!G30</f>
        <v>8518</v>
      </c>
      <c r="F23" s="187">
        <f>Rawdata!I30</f>
        <v>634</v>
      </c>
      <c r="G23" s="187">
        <f>Rawdata!J30</f>
        <v>1200</v>
      </c>
      <c r="H23" s="187">
        <f>Rawdata!L30</f>
        <v>1580</v>
      </c>
      <c r="I23" s="187">
        <f>Rawdata!M30</f>
        <v>2991</v>
      </c>
      <c r="J23" s="187">
        <f>Rawdata!O30</f>
        <v>26730</v>
      </c>
      <c r="K23" s="187">
        <f>Rawdata!P30</f>
        <v>29846</v>
      </c>
      <c r="L23" s="188">
        <f>Rawdata!U30</f>
        <v>6.9000000000000006E-2</v>
      </c>
      <c r="M23" s="188">
        <f>Rawdata!V30</f>
        <v>0.10100000000000001</v>
      </c>
      <c r="N23" s="188">
        <f>Rawdata!R30</f>
        <v>3.6999999999999998E-2</v>
      </c>
      <c r="O23" s="188">
        <f>Rawdata!S30</f>
        <v>4.9000000000000002E-2</v>
      </c>
    </row>
    <row r="24" spans="1:15" x14ac:dyDescent="0.2">
      <c r="A24" t="str">
        <f>Rawdata!C31</f>
        <v>PDR</v>
      </c>
      <c r="B24" t="str">
        <f>Rawdata!D31</f>
        <v>BUY</v>
      </c>
      <c r="C24" s="187">
        <f>Rawdata!E31</f>
        <v>23600</v>
      </c>
      <c r="D24" s="187">
        <f>Rawdata!F31</f>
        <v>4474</v>
      </c>
      <c r="E24" s="187">
        <f>Rawdata!G31</f>
        <v>6101</v>
      </c>
      <c r="F24" s="187">
        <f>Rawdata!I31</f>
        <v>641</v>
      </c>
      <c r="G24" s="187">
        <f>Rawdata!J31</f>
        <v>1410</v>
      </c>
      <c r="H24" s="187">
        <f>Rawdata!L31</f>
        <v>716</v>
      </c>
      <c r="I24" s="187">
        <f>Rawdata!M31</f>
        <v>1574</v>
      </c>
      <c r="J24" s="187">
        <f>Rawdata!O31</f>
        <v>13751</v>
      </c>
      <c r="K24" s="187">
        <f>Rawdata!P31</f>
        <v>15366</v>
      </c>
      <c r="L24" s="188">
        <f>Rawdata!U31</f>
        <v>6.8000000000000005E-2</v>
      </c>
      <c r="M24" s="188">
        <f>Rawdata!V31</f>
        <v>0.13600000000000001</v>
      </c>
      <c r="N24" s="188">
        <f>Rawdata!R31</f>
        <v>3.3000000000000002E-2</v>
      </c>
      <c r="O24" s="188">
        <f>Rawdata!S31</f>
        <v>6.6000000000000003E-2</v>
      </c>
    </row>
    <row r="25" spans="1:15" x14ac:dyDescent="0.2">
      <c r="A25" t="str">
        <f>Rawdata!C32</f>
        <v>VHM</v>
      </c>
      <c r="B25" t="str">
        <f>Rawdata!D32</f>
        <v>BUY</v>
      </c>
      <c r="C25" s="187">
        <f>Rawdata!E32</f>
        <v>92500</v>
      </c>
      <c r="D25" s="187">
        <f>Rawdata!F32</f>
        <v>125810</v>
      </c>
      <c r="E25" s="187">
        <f>Rawdata!G32</f>
        <v>115136</v>
      </c>
      <c r="F25" s="187">
        <f>Rawdata!I32</f>
        <v>36602</v>
      </c>
      <c r="G25" s="187">
        <f>Rawdata!J32</f>
        <v>39843</v>
      </c>
      <c r="H25" s="187">
        <f>Rawdata!L32</f>
        <v>8893</v>
      </c>
      <c r="I25" s="187">
        <f>Rawdata!M32</f>
        <v>9681</v>
      </c>
      <c r="J25" s="187">
        <f>Rawdata!O32</f>
        <v>57975</v>
      </c>
      <c r="K25" s="187">
        <f>Rawdata!P32</f>
        <v>67675</v>
      </c>
      <c r="L25" s="188">
        <f>Rawdata!U32</f>
        <v>0.14299999999999999</v>
      </c>
      <c r="M25" s="188">
        <f>Rawdata!V32</f>
        <v>0.13700000000000001</v>
      </c>
      <c r="N25" s="188">
        <f>Rawdata!R32</f>
        <v>5.8999999999999997E-2</v>
      </c>
      <c r="O25" s="188">
        <f>Rawdata!S32</f>
        <v>4.8000000000000001E-2</v>
      </c>
    </row>
    <row r="26" spans="1:15" x14ac:dyDescent="0.2">
      <c r="A26" t="str">
        <f>Rawdata!C33</f>
        <v>VRE</v>
      </c>
      <c r="B26" t="str">
        <f>Rawdata!D33</f>
        <v>BUY</v>
      </c>
      <c r="C26" s="187">
        <f>Rawdata!E33</f>
        <v>31500</v>
      </c>
      <c r="D26" s="187">
        <f>Rawdata!F33</f>
        <v>9218.1677751170118</v>
      </c>
      <c r="E26" s="187">
        <f>Rawdata!G33</f>
        <v>10941</v>
      </c>
      <c r="F26" s="187">
        <f>Rawdata!I33</f>
        <v>4413</v>
      </c>
      <c r="G26" s="187">
        <f>Rawdata!J33</f>
        <v>5355</v>
      </c>
      <c r="H26" s="187">
        <f>Rawdata!L33</f>
        <v>1895</v>
      </c>
      <c r="I26" s="187">
        <f>Rawdata!M33</f>
        <v>2299</v>
      </c>
      <c r="J26" s="187">
        <f>Rawdata!O33</f>
        <v>19897</v>
      </c>
      <c r="K26" s="187">
        <f>Rawdata!P33</f>
        <v>22196</v>
      </c>
      <c r="L26" s="188">
        <f>Rawdata!U33</f>
        <v>9.5000000000000001E-2</v>
      </c>
      <c r="M26" s="188">
        <f>Rawdata!V33</f>
        <v>0.104</v>
      </c>
      <c r="N26" s="188">
        <f>Rawdata!R33</f>
        <v>7.5999999999999998E-2</v>
      </c>
      <c r="O26" s="188">
        <f>Rawdata!S33</f>
        <v>8.7999999999999995E-2</v>
      </c>
    </row>
    <row r="27" spans="1:15" x14ac:dyDescent="0.2">
      <c r="A27" t="str">
        <f>Rawdata!C34</f>
        <v>DPG</v>
      </c>
      <c r="B27" t="str">
        <f>Rawdata!D34</f>
        <v>BUY</v>
      </c>
      <c r="C27" s="187">
        <f>Rawdata!E34</f>
        <v>53000</v>
      </c>
      <c r="D27" s="187">
        <f>Rawdata!F34</f>
        <v>4596</v>
      </c>
      <c r="E27" s="187">
        <f>Rawdata!G34</f>
        <v>5253</v>
      </c>
      <c r="F27" s="187">
        <f>Rawdata!I34</f>
        <v>270</v>
      </c>
      <c r="G27" s="187">
        <f>Rawdata!J34</f>
        <v>376</v>
      </c>
      <c r="H27" s="187">
        <f>Rawdata!L34</f>
        <v>4263</v>
      </c>
      <c r="I27" s="187">
        <f>Rawdata!M34</f>
        <v>5926</v>
      </c>
      <c r="J27" s="187">
        <f>Rawdata!O34</f>
        <v>34618</v>
      </c>
      <c r="K27" s="187">
        <f>Rawdata!P34</f>
        <v>39580</v>
      </c>
      <c r="L27" s="188">
        <f>Rawdata!U34</f>
        <v>0.122</v>
      </c>
      <c r="M27" s="188">
        <f>Rawdata!V34</f>
        <v>1.4330000000000001</v>
      </c>
      <c r="N27" s="188">
        <f>Rawdata!R34</f>
        <v>4.7E-2</v>
      </c>
      <c r="O27" s="188">
        <f>Rawdata!S34</f>
        <v>5.8999999999999997E-2</v>
      </c>
    </row>
    <row r="28" spans="1:15" x14ac:dyDescent="0.2">
      <c r="A28" t="str">
        <f>Rawdata!C36</f>
        <v>IDC</v>
      </c>
      <c r="B28" t="str">
        <f>Rawdata!D36</f>
        <v>HOLD</v>
      </c>
      <c r="C28" s="187">
        <f>Rawdata!E36</f>
        <v>65300</v>
      </c>
      <c r="D28" s="187">
        <f>Rawdata!F36</f>
        <v>7351.7871247515995</v>
      </c>
      <c r="E28" s="187">
        <f>Rawdata!G36</f>
        <v>7572.3407384941484</v>
      </c>
      <c r="F28" s="187">
        <f>Rawdata!I36</f>
        <v>1652.9809645579228</v>
      </c>
      <c r="G28" s="187">
        <f>Rawdata!J36</f>
        <v>1891.729750776145</v>
      </c>
      <c r="H28" s="187">
        <f>Rawdata!L36</f>
        <v>5009.0332259330999</v>
      </c>
      <c r="I28" s="187">
        <f>Rawdata!M36</f>
        <v>5732.514396291348</v>
      </c>
      <c r="J28" s="187">
        <f>Rawdata!O36</f>
        <v>27766.101902659026</v>
      </c>
      <c r="K28" s="187">
        <f>Rawdata!P36</f>
        <v>33498.616298950357</v>
      </c>
      <c r="L28" s="188">
        <f>Rawdata!U36</f>
        <v>0.15980789948329971</v>
      </c>
      <c r="M28" s="188">
        <f>Rawdata!V36</f>
        <v>0.15461271195607657</v>
      </c>
      <c r="N28" s="188">
        <f>Rawdata!R36</f>
        <v>8.024259491955979E-2</v>
      </c>
      <c r="O28" s="188">
        <f>Rawdata!S36</f>
        <v>8.0295060074481381E-2</v>
      </c>
    </row>
    <row r="29" spans="1:15" x14ac:dyDescent="0.2">
      <c r="A29" t="str">
        <f>Rawdata!C37</f>
        <v>LHG</v>
      </c>
      <c r="B29" t="str">
        <f>Rawdata!D37</f>
        <v>NA</v>
      </c>
      <c r="C29" s="187">
        <f>Rawdata!E37</f>
        <v>47300</v>
      </c>
      <c r="D29" s="187">
        <f>Rawdata!F37</f>
        <v>622</v>
      </c>
      <c r="E29" s="187">
        <f>Rawdata!G37</f>
        <v>0</v>
      </c>
      <c r="F29" s="187">
        <f>Rawdata!I37</f>
        <v>260</v>
      </c>
      <c r="G29" s="187">
        <f>Rawdata!J37</f>
        <v>0</v>
      </c>
      <c r="H29" s="187">
        <f>Rawdata!L37</f>
        <v>5194</v>
      </c>
      <c r="I29" s="187">
        <f>Rawdata!M37</f>
        <v>0</v>
      </c>
      <c r="J29" s="187">
        <f>Rawdata!O37</f>
        <v>37432</v>
      </c>
      <c r="K29" s="187">
        <f>Rawdata!P37</f>
        <v>0</v>
      </c>
      <c r="L29" s="188">
        <f>Rawdata!U37</f>
        <v>0.13880000000000001</v>
      </c>
      <c r="M29" s="188">
        <f>Rawdata!V37</f>
        <v>0</v>
      </c>
      <c r="N29" s="188">
        <f>Rawdata!R37</f>
        <v>7.6700000000000004E-2</v>
      </c>
      <c r="O29" s="188">
        <f>Rawdata!S37</f>
        <v>0</v>
      </c>
    </row>
    <row r="30" spans="1:15" x14ac:dyDescent="0.2">
      <c r="A30" t="str">
        <f>Rawdata!C38</f>
        <v>PHR</v>
      </c>
      <c r="B30" t="str">
        <f>Rawdata!D38</f>
        <v>HOLD</v>
      </c>
      <c r="C30" s="187">
        <f>Rawdata!E38</f>
        <v>64800</v>
      </c>
      <c r="D30" s="187">
        <f>Rawdata!F38</f>
        <v>1645.8421836797606</v>
      </c>
      <c r="E30" s="187">
        <f>Rawdata!G38</f>
        <v>1834.8719088742237</v>
      </c>
      <c r="F30" s="187">
        <f>Rawdata!I38</f>
        <v>540.41102370466456</v>
      </c>
      <c r="G30" s="187">
        <f>Rawdata!J38</f>
        <v>576.01554373305305</v>
      </c>
      <c r="H30" s="187">
        <f>Rawdata!L38</f>
        <v>3988.2968436806882</v>
      </c>
      <c r="I30" s="187">
        <f>Rawdata!M38</f>
        <v>4251.0623843917738</v>
      </c>
      <c r="J30" s="187">
        <f>Rawdata!O38</f>
        <v>27756.871877131391</v>
      </c>
      <c r="K30" s="187">
        <f>Rawdata!P38</f>
        <v>29007.934261523162</v>
      </c>
      <c r="L30" s="188">
        <f>Rawdata!U38</f>
        <v>0.13753906660146478</v>
      </c>
      <c r="M30" s="188">
        <f>Rawdata!V38</f>
        <v>0.14053740476325713</v>
      </c>
      <c r="N30" s="188">
        <f>Rawdata!R38</f>
        <v>7.8655499833181985E-2</v>
      </c>
      <c r="O30" s="188">
        <f>Rawdata!S38</f>
        <v>8.6016352394840859E-2</v>
      </c>
    </row>
    <row r="31" spans="1:15" x14ac:dyDescent="0.2">
      <c r="A31" t="str">
        <f>Rawdata!C39</f>
        <v>SZC</v>
      </c>
      <c r="B31" t="str">
        <f>Rawdata!D39</f>
        <v>BUY</v>
      </c>
      <c r="C31" s="187">
        <f>Rawdata!E39</f>
        <v>45000</v>
      </c>
      <c r="D31" s="187">
        <f>Rawdata!F39</f>
        <v>1670.267642211765</v>
      </c>
      <c r="E31" s="187">
        <f>Rawdata!G39</f>
        <v>1743.6865743087064</v>
      </c>
      <c r="F31" s="187">
        <f>Rawdata!I39</f>
        <v>661.77403241308718</v>
      </c>
      <c r="G31" s="187">
        <f>Rawdata!J39</f>
        <v>759.69736029001979</v>
      </c>
      <c r="H31" s="187">
        <f>Rawdata!L39</f>
        <v>3676.5228107974631</v>
      </c>
      <c r="I31" s="187">
        <f>Rawdata!M39</f>
        <v>4220.5413594491501</v>
      </c>
      <c r="J31" s="187">
        <f>Rawdata!O39</f>
        <v>22650.294967594775</v>
      </c>
      <c r="K31" s="187">
        <f>Rawdata!P39</f>
        <v>26870.836327043929</v>
      </c>
      <c r="L31" s="188">
        <f>Rawdata!U39</f>
        <v>0.16231677406662362</v>
      </c>
      <c r="M31" s="188">
        <f>Rawdata!V39</f>
        <v>0.15706773351157</v>
      </c>
      <c r="N31" s="188">
        <f>Rawdata!R39</f>
        <v>6.4412270222108686E-2</v>
      </c>
      <c r="O31" s="188">
        <f>Rawdata!S39</f>
        <v>6.8991767059924547E-2</v>
      </c>
    </row>
    <row r="32" spans="1:15" x14ac:dyDescent="0.2">
      <c r="A32" t="str">
        <f>Rawdata!C40</f>
        <v>SIP</v>
      </c>
      <c r="B32" t="str">
        <f>Rawdata!D40</f>
        <v>NA</v>
      </c>
      <c r="C32" s="187">
        <f>Rawdata!E40</f>
        <v>0</v>
      </c>
      <c r="D32" s="187">
        <f>Rawdata!F40</f>
        <v>7479.2022538636929</v>
      </c>
      <c r="E32" s="187">
        <f>Rawdata!G40</f>
        <v>7703.5783214796038</v>
      </c>
      <c r="F32" s="187">
        <f>Rawdata!I40</f>
        <v>1324.4626752439585</v>
      </c>
      <c r="G32" s="187">
        <f>Rawdata!J40</f>
        <v>1348.1640300066001</v>
      </c>
      <c r="H32" s="187">
        <f>Rawdata!L40</f>
        <v>14570.546482331776</v>
      </c>
      <c r="I32" s="187">
        <f>Rawdata!M40</f>
        <v>14831.287458818482</v>
      </c>
      <c r="J32" s="187">
        <f>Rawdata!O40</f>
        <v>49349.294023971197</v>
      </c>
      <c r="K32" s="187">
        <f>Rawdata!P40</f>
        <v>55180.170987740166</v>
      </c>
      <c r="L32" s="188">
        <f>Rawdata!U40</f>
        <v>0</v>
      </c>
      <c r="M32" s="188">
        <f>Rawdata!V40</f>
        <v>0</v>
      </c>
      <c r="N32" s="188">
        <f>Rawdata!R40</f>
        <v>0</v>
      </c>
      <c r="O32" s="188">
        <f>Rawdata!S40</f>
        <v>0</v>
      </c>
    </row>
    <row r="33" spans="1:15" x14ac:dyDescent="0.2">
      <c r="A33" t="str">
        <f>Rawdata!C41</f>
        <v>DPR</v>
      </c>
      <c r="B33" t="str">
        <f>Rawdata!D41</f>
        <v>HOLD</v>
      </c>
      <c r="C33" s="187">
        <f>Rawdata!E41</f>
        <v>49700</v>
      </c>
      <c r="D33" s="187">
        <f>Rawdata!F41</f>
        <v>1334.8684576561359</v>
      </c>
      <c r="E33" s="187">
        <f>Rawdata!G41</f>
        <v>1385.4156306257808</v>
      </c>
      <c r="F33" s="187">
        <f>Rawdata!I41</f>
        <v>290.5857522201095</v>
      </c>
      <c r="G33" s="187">
        <f>Rawdata!J41</f>
        <v>317.98512398428994</v>
      </c>
      <c r="H33" s="187">
        <f>Rawdata!L41</f>
        <v>3344.4511157469024</v>
      </c>
      <c r="I33" s="187">
        <f>Rawdata!M41</f>
        <v>3659.7998854899774</v>
      </c>
      <c r="J33" s="187">
        <f>Rawdata!O41</f>
        <v>27521.623787918048</v>
      </c>
      <c r="K33" s="187">
        <f>Rawdata!P41</f>
        <v>28181.423673408033</v>
      </c>
      <c r="L33" s="188">
        <f>Rawdata!U41</f>
        <v>9.3872925879694369E-2</v>
      </c>
      <c r="M33" s="188">
        <f>Rawdata!V41</f>
        <v>0.10085641355024512</v>
      </c>
      <c r="N33" s="188">
        <f>Rawdata!R41</f>
        <v>5.9594155731082933E-2</v>
      </c>
      <c r="O33" s="188">
        <f>Rawdata!S41</f>
        <v>5.6648538420028413E-2</v>
      </c>
    </row>
    <row r="34" spans="1:15" x14ac:dyDescent="0.2">
      <c r="A34" t="str">
        <f>Rawdata!C43</f>
        <v>KBC</v>
      </c>
      <c r="B34" t="str">
        <f>Rawdata!D43</f>
        <v>NA</v>
      </c>
      <c r="C34" s="187">
        <f>Rawdata!E43</f>
        <v>35000</v>
      </c>
      <c r="D34" s="187">
        <f>Rawdata!F43</f>
        <v>5949.2775622157023</v>
      </c>
      <c r="E34" s="187">
        <f>Rawdata!G43</f>
        <v>14924.701261901178</v>
      </c>
      <c r="F34" s="187">
        <f>Rawdata!I43</f>
        <v>1352.2906228889965</v>
      </c>
      <c r="G34" s="187">
        <f>Rawdata!J43</f>
        <v>5371.3018067428857</v>
      </c>
      <c r="H34" s="187">
        <f>Rawdata!L43</f>
        <v>1761.7017182784252</v>
      </c>
      <c r="I34" s="187">
        <f>Rawdata!M43</f>
        <v>6997.4837229258064</v>
      </c>
      <c r="J34" s="187">
        <f>Rawdata!O43</f>
        <v>29131.542122202631</v>
      </c>
      <c r="K34" s="187">
        <f>Rawdata!P43</f>
        <v>36867.485286740935</v>
      </c>
      <c r="L34" s="188">
        <f>Rawdata!U43</f>
        <v>6.0474028834050023E-2</v>
      </c>
      <c r="M34" s="188">
        <f>Rawdata!V43</f>
        <v>0.18980094976649761</v>
      </c>
      <c r="N34" s="188">
        <f>Rawdata!R43</f>
        <v>3.4925544051563319E-2</v>
      </c>
      <c r="O34" s="188">
        <f>Rawdata!S43</f>
        <v>0.11364843637120982</v>
      </c>
    </row>
    <row r="35" spans="1:15" x14ac:dyDescent="0.2">
      <c r="A35" t="str">
        <f>Rawdata!C46</f>
        <v>PLC</v>
      </c>
      <c r="B35" t="str">
        <f>Rawdata!D46</f>
        <v>HOLD</v>
      </c>
      <c r="C35" s="187">
        <f>Rawdata!E46</f>
        <v>0</v>
      </c>
      <c r="D35" s="187">
        <f>Rawdata!F46</f>
        <v>7261.0114690127275</v>
      </c>
      <c r="E35" s="187">
        <f>Rawdata!G46</f>
        <v>7392.4131101836292</v>
      </c>
      <c r="F35" s="187">
        <f>Rawdata!I46</f>
        <v>118.53709546494017</v>
      </c>
      <c r="G35" s="187">
        <f>Rawdata!J46</f>
        <v>125.51367121773778</v>
      </c>
      <c r="H35" s="187">
        <f>Rawdata!L46</f>
        <v>1445.9692936668284</v>
      </c>
      <c r="I35" s="187">
        <f>Rawdata!M46</f>
        <v>1552.5217912536023</v>
      </c>
      <c r="J35" s="187">
        <f>Rawdata!O46</f>
        <v>14917.598723691988</v>
      </c>
      <c r="K35" s="187">
        <f>Rawdata!P46</f>
        <v>14470.120514945585</v>
      </c>
      <c r="L35" s="188">
        <f>Rawdata!U46</f>
        <v>9.6930432333613703E-2</v>
      </c>
      <c r="M35" s="188">
        <f>Rawdata!V46</f>
        <v>0.10729155915806415</v>
      </c>
      <c r="N35" s="188">
        <f>Rawdata!R46</f>
        <v>2.3314332723710106E-2</v>
      </c>
      <c r="O35" s="188">
        <f>Rawdata!S46</f>
        <v>3.2362261586564037E-2</v>
      </c>
    </row>
    <row r="36" spans="1:15" x14ac:dyDescent="0.2">
      <c r="A36" t="str">
        <f>Rawdata!C47</f>
        <v>DGC</v>
      </c>
      <c r="B36" t="str">
        <f>Rawdata!D47</f>
        <v>HOLD</v>
      </c>
      <c r="C36" s="187">
        <f>Rawdata!E47</f>
        <v>109300</v>
      </c>
      <c r="D36" s="187">
        <f>Rawdata!F47</f>
        <v>10871.373932047447</v>
      </c>
      <c r="E36" s="187">
        <f>Rawdata!G47</f>
        <v>12202.870629013851</v>
      </c>
      <c r="F36" s="187">
        <f>Rawdata!I47</f>
        <v>3488.3821931707207</v>
      </c>
      <c r="G36" s="187">
        <f>Rawdata!J47</f>
        <v>3865.0379510536109</v>
      </c>
      <c r="H36" s="187">
        <f>Rawdata!L47</f>
        <v>9185.2881970258932</v>
      </c>
      <c r="I36" s="187">
        <f>Rawdata!M47</f>
        <v>10177.063609134309</v>
      </c>
      <c r="J36" s="187">
        <f>Rawdata!O47</f>
        <v>42822.955417049554</v>
      </c>
      <c r="K36" s="187">
        <f>Rawdata!P47</f>
        <v>50645.07289894655</v>
      </c>
      <c r="L36" s="188">
        <f>Rawdata!U47</f>
        <v>0.24761974753652777</v>
      </c>
      <c r="M36" s="188">
        <f>Rawdata!V47</f>
        <v>0.23153104217344109</v>
      </c>
      <c r="N36" s="188">
        <f>Rawdata!R47</f>
        <v>0.21775575332844233</v>
      </c>
      <c r="O36" s="188">
        <f>Rawdata!S47</f>
        <v>0.20664110576931188</v>
      </c>
    </row>
    <row r="37" spans="1:15" x14ac:dyDescent="0.2">
      <c r="A37" t="str">
        <f>Rawdata!C48</f>
        <v>CSV</v>
      </c>
      <c r="B37" t="str">
        <f>Rawdata!D48</f>
        <v>HOLD</v>
      </c>
      <c r="C37" s="187">
        <f>Rawdata!E48</f>
        <v>0</v>
      </c>
      <c r="D37" s="187">
        <f>Rawdata!F48</f>
        <v>1987</v>
      </c>
      <c r="E37" s="187">
        <f>Rawdata!G48</f>
        <v>2086.35</v>
      </c>
      <c r="F37" s="187">
        <f>Rawdata!I48</f>
        <v>247</v>
      </c>
      <c r="G37" s="187">
        <f>Rawdata!J48</f>
        <v>266.76</v>
      </c>
      <c r="H37" s="187">
        <f>Rawdata!L48</f>
        <v>2235.2959382500853</v>
      </c>
      <c r="I37" s="187">
        <f>Rawdata!M48</f>
        <v>2414.1196133100925</v>
      </c>
      <c r="J37" s="187">
        <f>Rawdata!O48</f>
        <v>14063.51</v>
      </c>
      <c r="K37" s="187">
        <f>Rawdata!P48</f>
        <v>14204.1451</v>
      </c>
      <c r="L37" s="188">
        <f>Rawdata!U48</f>
        <v>0.15894296219436579</v>
      </c>
      <c r="M37" s="188">
        <f>Rawdata!V48</f>
        <v>0.16995881105932187</v>
      </c>
      <c r="N37" s="188">
        <f>Rawdata!R48</f>
        <v>0.13286713286713286</v>
      </c>
      <c r="O37" s="188">
        <f>Rawdata!S48</f>
        <v>0.1434965034965035</v>
      </c>
    </row>
    <row r="38" spans="1:15" x14ac:dyDescent="0.2">
      <c r="A38" t="str">
        <f>Rawdata!C49</f>
        <v>DCM</v>
      </c>
      <c r="B38" t="str">
        <f>Rawdata!D49</f>
        <v>BUY</v>
      </c>
      <c r="C38" s="187">
        <f>Rawdata!E49</f>
        <v>47300</v>
      </c>
      <c r="D38" s="187">
        <f>Rawdata!F49</f>
        <v>19929.562453470611</v>
      </c>
      <c r="E38" s="187">
        <f>Rawdata!G49</f>
        <v>19723.883442954269</v>
      </c>
      <c r="F38" s="187">
        <f>Rawdata!I49</f>
        <v>2845.4462978918382</v>
      </c>
      <c r="G38" s="187">
        <f>Rawdata!J49</f>
        <v>2621.1106235058301</v>
      </c>
      <c r="H38" s="187">
        <f>Rawdata!L49</f>
        <v>4031.138502869057</v>
      </c>
      <c r="I38" s="187">
        <f>Rawdata!M49</f>
        <v>3713.3225682458869</v>
      </c>
      <c r="J38" s="187">
        <f>Rawdata!O49</f>
        <v>22175.855621709557</v>
      </c>
      <c r="K38" s="187">
        <f>Rawdata!P49</f>
        <v>25128.717910775471</v>
      </c>
      <c r="L38" s="188">
        <f>Rawdata!U49</f>
        <v>0.24229827818068106</v>
      </c>
      <c r="M38" s="188">
        <f>Rawdata!V49</f>
        <v>0.19697508125389188</v>
      </c>
      <c r="N38" s="188">
        <f>Rawdata!R49</f>
        <v>0.16807405834335612</v>
      </c>
      <c r="O38" s="188">
        <f>Rawdata!S49</f>
        <v>0.13888075123535001</v>
      </c>
    </row>
    <row r="39" spans="1:15" x14ac:dyDescent="0.2">
      <c r="A39" t="str">
        <f>Rawdata!C50</f>
        <v>DPM</v>
      </c>
      <c r="B39" t="str">
        <f>Rawdata!D50</f>
        <v>HOLD</v>
      </c>
      <c r="C39" s="187">
        <f>Rawdata!E50</f>
        <v>30500</v>
      </c>
      <c r="D39" s="187">
        <f>Rawdata!F50</f>
        <v>17284.032394785325</v>
      </c>
      <c r="E39" s="187">
        <f>Rawdata!G50</f>
        <v>17273.083730079179</v>
      </c>
      <c r="F39" s="187">
        <f>Rawdata!I50</f>
        <v>1381.3329517743355</v>
      </c>
      <c r="G39" s="187">
        <f>Rawdata!J50</f>
        <v>1120.5364017654022</v>
      </c>
      <c r="H39" s="187">
        <f>Rawdata!L50</f>
        <v>1905.1341755101612</v>
      </c>
      <c r="I39" s="187">
        <f>Rawdata!M50</f>
        <v>1705.5137629515018</v>
      </c>
      <c r="J39" s="187">
        <f>Rawdata!O50</f>
        <v>22340.519198906844</v>
      </c>
      <c r="K39" s="187">
        <f>Rawdata!P50</f>
        <v>21949.591823769268</v>
      </c>
      <c r="L39" s="188">
        <f>Rawdata!U50</f>
        <v>9.0927707729270252E-2</v>
      </c>
      <c r="M39" s="188">
        <f>Rawdata!V50</f>
        <v>7.5074189907451253E-2</v>
      </c>
      <c r="N39" s="188">
        <f>Rawdata!R50</f>
        <v>6.9828444647252325E-2</v>
      </c>
      <c r="O39" s="188">
        <f>Rawdata!S50</f>
        <v>4.8515527439782415E-2</v>
      </c>
    </row>
    <row r="40" spans="1:15" x14ac:dyDescent="0.2">
      <c r="A40" t="str">
        <f>Rawdata!C51</f>
        <v>DDV</v>
      </c>
      <c r="B40" t="str">
        <f>Rawdata!D51</f>
        <v>BUY</v>
      </c>
      <c r="C40" s="187">
        <f>Rawdata!E51</f>
        <v>38200</v>
      </c>
      <c r="D40" s="187">
        <f>Rawdata!F51</f>
        <v>5696.7888594376118</v>
      </c>
      <c r="E40" s="187">
        <f>Rawdata!G51</f>
        <v>5141.5633260364193</v>
      </c>
      <c r="F40" s="187">
        <f>Rawdata!I51</f>
        <v>485.61948028173498</v>
      </c>
      <c r="G40" s="187">
        <f>Rawdata!J51</f>
        <v>476.58296242536142</v>
      </c>
      <c r="H40" s="187">
        <f>Rawdata!L51</f>
        <v>3323.6589737022268</v>
      </c>
      <c r="I40" s="187">
        <f>Rawdata!M51</f>
        <v>3261.8115707789921</v>
      </c>
      <c r="J40" s="187">
        <f>Rawdata!O51</f>
        <v>12232.169750329316</v>
      </c>
      <c r="K40" s="187">
        <f>Rawdata!P51</f>
        <v>15065.588110983987</v>
      </c>
      <c r="L40" s="188">
        <f>Rawdata!U51</f>
        <v>0.21240671392776977</v>
      </c>
      <c r="M40" s="188">
        <f>Rawdata!V51</f>
        <v>0.19266528252255183</v>
      </c>
      <c r="N40" s="188">
        <f>Rawdata!R51</f>
        <v>0.27171458878853011</v>
      </c>
      <c r="O40" s="188">
        <f>Rawdata!S51</f>
        <v>0.21650741721797623</v>
      </c>
    </row>
    <row r="41" spans="1:15" x14ac:dyDescent="0.2">
      <c r="A41" t="str">
        <f>Rawdata!C52</f>
        <v>DRC</v>
      </c>
      <c r="B41" t="str">
        <f>Rawdata!D52</f>
        <v>HOLD</v>
      </c>
      <c r="C41" s="187">
        <f>Rawdata!E52</f>
        <v>0</v>
      </c>
      <c r="D41" s="187">
        <f>Rawdata!F52</f>
        <v>4803.5805010472104</v>
      </c>
      <c r="E41" s="187">
        <f>Rawdata!G52</f>
        <v>5052.3285947947443</v>
      </c>
      <c r="F41" s="187">
        <f>Rawdata!I52</f>
        <v>108.71932100518143</v>
      </c>
      <c r="G41" s="187">
        <f>Rawdata!J52</f>
        <v>191.47113034512353</v>
      </c>
      <c r="H41" s="187">
        <f>Rawdata!L52</f>
        <v>648.81072470023457</v>
      </c>
      <c r="I41" s="187">
        <f>Rawdata!M52</f>
        <v>1142.6535935822492</v>
      </c>
      <c r="J41" s="187">
        <f>Rawdata!O52</f>
        <v>15519.442340923508</v>
      </c>
      <c r="K41" s="187">
        <f>Rawdata!P52</f>
        <v>16266.177648144585</v>
      </c>
      <c r="L41" s="188">
        <f>Rawdata!U52</f>
        <v>4.4973207515911162E-2</v>
      </c>
      <c r="M41" s="188">
        <f>Rawdata!V52</f>
        <v>7.5598330533038896E-2</v>
      </c>
      <c r="N41" s="188">
        <f>Rawdata!R52</f>
        <v>2.5495719038898128E-2</v>
      </c>
      <c r="O41" s="188">
        <f>Rawdata!S52</f>
        <v>4.3462167317427608E-2</v>
      </c>
    </row>
    <row r="42" spans="1:15" x14ac:dyDescent="0.2">
      <c r="A42" t="str">
        <f>Rawdata!C53</f>
        <v>CSM</v>
      </c>
      <c r="B42" t="str">
        <f>Rawdata!D53</f>
        <v>HOLD</v>
      </c>
      <c r="C42" s="187">
        <f>Rawdata!E53</f>
        <v>13500</v>
      </c>
      <c r="D42" s="187">
        <f>Rawdata!F53</f>
        <v>4799.7847995798884</v>
      </c>
      <c r="E42" s="187">
        <f>Rawdata!G53</f>
        <v>4903.4517347645533</v>
      </c>
      <c r="F42" s="187">
        <f>Rawdata!I53</f>
        <v>73.0013394701393</v>
      </c>
      <c r="G42" s="187">
        <f>Rawdata!J53</f>
        <v>93.426249808799099</v>
      </c>
      <c r="H42" s="187">
        <f>Rawdata!L53</f>
        <v>520.63913468616397</v>
      </c>
      <c r="I42" s="187">
        <f>Rawdata!M53</f>
        <v>666.30779942500885</v>
      </c>
      <c r="J42" s="187">
        <f>Rawdata!O53</f>
        <v>13922.444037105692</v>
      </c>
      <c r="K42" s="187">
        <f>Rawdata!P53</f>
        <v>14568.864026796859</v>
      </c>
      <c r="L42" s="188">
        <f>Rawdata!U53</f>
        <v>5.0599317184498109E-2</v>
      </c>
      <c r="M42" s="188">
        <f>Rawdata!V53</f>
        <v>6.1883167438562744E-2</v>
      </c>
      <c r="N42" s="188">
        <f>Rawdata!R53</f>
        <v>3.7447403832265518E-2</v>
      </c>
      <c r="O42" s="188">
        <f>Rawdata!S53</f>
        <v>4.3256937514199255E-2</v>
      </c>
    </row>
    <row r="43" spans="1:15" x14ac:dyDescent="0.2">
      <c r="A43" t="str">
        <f>Rawdata!C54</f>
        <v>BSR</v>
      </c>
      <c r="B43" t="str">
        <f>Rawdata!D54</f>
        <v>HOLD</v>
      </c>
      <c r="C43" s="187">
        <f>Rawdata!E54</f>
        <v>20100</v>
      </c>
      <c r="D43" s="187">
        <f>Rawdata!F54</f>
        <v>109209</v>
      </c>
      <c r="E43" s="187">
        <f>Rawdata!G54</f>
        <v>140582</v>
      </c>
      <c r="F43" s="187">
        <f>Rawdata!I54</f>
        <v>1196</v>
      </c>
      <c r="G43" s="187">
        <f>Rawdata!J54</f>
        <v>1293</v>
      </c>
      <c r="H43" s="187">
        <f>Rawdata!L54</f>
        <v>386</v>
      </c>
      <c r="I43" s="187">
        <f>Rawdata!M54</f>
        <v>417</v>
      </c>
      <c r="J43" s="187">
        <f>Rawdata!O54</f>
        <v>19100</v>
      </c>
      <c r="K43" s="187">
        <f>Rawdata!P54</f>
        <v>20300</v>
      </c>
      <c r="L43" s="188">
        <f>Rawdata!U54</f>
        <v>0.08</v>
      </c>
      <c r="M43" s="188">
        <f>Rawdata!V54</f>
        <v>0.08</v>
      </c>
      <c r="N43" s="188">
        <f>Rawdata!R54</f>
        <v>0.05</v>
      </c>
      <c r="O43" s="188">
        <f>Rawdata!S54</f>
        <v>0.05</v>
      </c>
    </row>
    <row r="44" spans="1:15" x14ac:dyDescent="0.2">
      <c r="A44" t="str">
        <f>Rawdata!C55</f>
        <v>PVD</v>
      </c>
      <c r="B44" t="str">
        <f>Rawdata!D55</f>
        <v>BUY</v>
      </c>
      <c r="C44" s="187">
        <f>Rawdata!E55</f>
        <v>23700</v>
      </c>
      <c r="D44" s="187">
        <f>Rawdata!F55</f>
        <v>8963</v>
      </c>
      <c r="E44" s="187">
        <f>Rawdata!G55</f>
        <v>9983</v>
      </c>
      <c r="F44" s="187">
        <f>Rawdata!I55</f>
        <v>710</v>
      </c>
      <c r="G44" s="187">
        <f>Rawdata!J55</f>
        <v>883</v>
      </c>
      <c r="H44" s="187">
        <f>Rawdata!L55</f>
        <v>1265</v>
      </c>
      <c r="I44" s="187">
        <f>Rawdata!M55</f>
        <v>1484</v>
      </c>
      <c r="J44" s="187">
        <f>Rawdata!O55</f>
        <v>28700</v>
      </c>
      <c r="K44" s="187">
        <f>Rawdata!P55</f>
        <v>29200</v>
      </c>
      <c r="L44" s="188">
        <f>Rawdata!U55</f>
        <v>0.06</v>
      </c>
      <c r="M44" s="188">
        <f>Rawdata!V55</f>
        <v>0.06</v>
      </c>
      <c r="N44" s="188">
        <f>Rawdata!R55</f>
        <v>4.1000000000000002E-2</v>
      </c>
      <c r="O44" s="188">
        <f>Rawdata!S55</f>
        <v>0.04</v>
      </c>
    </row>
    <row r="45" spans="1:15" x14ac:dyDescent="0.2">
      <c r="A45" t="str">
        <f>Rawdata!C59</f>
        <v>GEX</v>
      </c>
      <c r="B45" t="str">
        <f>Rawdata!D59</f>
        <v>HOLD</v>
      </c>
      <c r="C45" s="187">
        <f>Rawdata!E59</f>
        <v>35100</v>
      </c>
      <c r="D45" s="187">
        <f>Rawdata!F59</f>
        <v>38136.902599425543</v>
      </c>
      <c r="E45" s="187">
        <f>Rawdata!G59</f>
        <v>38892.552281647295</v>
      </c>
      <c r="F45" s="187">
        <f>Rawdata!I59</f>
        <v>1129.6702877432253</v>
      </c>
      <c r="G45" s="187">
        <f>Rawdata!J59</f>
        <v>1292.1494091395884</v>
      </c>
      <c r="H45" s="187">
        <f>Rawdata!L59</f>
        <v>1314.4871861103391</v>
      </c>
      <c r="I45" s="187">
        <f>Rawdata!M59</f>
        <v>1503.5483001391535</v>
      </c>
      <c r="J45" s="187">
        <f>Rawdata!O59</f>
        <v>29923.460260064723</v>
      </c>
      <c r="K45" s="187">
        <f>Rawdata!P59</f>
        <v>32823.468581990695</v>
      </c>
      <c r="L45" s="188">
        <f>Rawdata!U59</f>
        <v>8.9012451365266879E-2</v>
      </c>
      <c r="M45" s="188">
        <f>Rawdata!V59</f>
        <v>9.5088397213127993E-2</v>
      </c>
      <c r="N45" s="188">
        <f>Rawdata!R59</f>
        <v>4.5397962593983016E-2</v>
      </c>
      <c r="O45" s="188">
        <f>Rawdata!S59</f>
        <v>4.473767193653045E-2</v>
      </c>
    </row>
    <row r="46" spans="1:15" x14ac:dyDescent="0.2">
      <c r="A46" t="str">
        <f>Rawdata!C60</f>
        <v>BWE</v>
      </c>
      <c r="B46" t="str">
        <f>Rawdata!D60</f>
        <v>HOLD</v>
      </c>
      <c r="C46" s="187">
        <f>Rawdata!E60</f>
        <v>42100</v>
      </c>
      <c r="D46" s="187">
        <f>Rawdata!F60</f>
        <v>4262.7199024334495</v>
      </c>
      <c r="E46" s="187">
        <f>Rawdata!G60</f>
        <v>4555.3088130434135</v>
      </c>
      <c r="F46" s="187">
        <f>Rawdata!I60</f>
        <v>695.96080793746569</v>
      </c>
      <c r="G46" s="187">
        <f>Rawdata!J60</f>
        <v>884</v>
      </c>
      <c r="H46" s="187">
        <f>Rawdata!L60</f>
        <v>3164.8968073554602</v>
      </c>
      <c r="I46" s="187">
        <f>Rawdata!M60</f>
        <v>4097.2113719397876</v>
      </c>
      <c r="J46" s="187">
        <f>Rawdata!O60</f>
        <v>27805.354572933589</v>
      </c>
      <c r="K46" s="187">
        <f>Rawdata!P60</f>
        <v>31300.401084858713</v>
      </c>
      <c r="L46" s="188">
        <f>Rawdata!U60</f>
        <v>0.12397870489992978</v>
      </c>
      <c r="M46" s="188">
        <f>Rawdata!V60</f>
        <v>0.14248694953967067</v>
      </c>
      <c r="N46" s="188">
        <f>Rawdata!R60</f>
        <v>5.0910361623951093E-2</v>
      </c>
      <c r="O46" s="188">
        <f>Rawdata!S60</f>
        <v>6.5080958600715472E-2</v>
      </c>
    </row>
    <row r="47" spans="1:15" x14ac:dyDescent="0.2">
      <c r="A47" t="str">
        <f>Rawdata!C61</f>
        <v>DHC</v>
      </c>
      <c r="B47" t="str">
        <f>Rawdata!D61</f>
        <v>BUY</v>
      </c>
      <c r="C47" s="187">
        <f>Rawdata!E61</f>
        <v>35100</v>
      </c>
      <c r="D47" s="187">
        <f>Rawdata!F61</f>
        <v>3624.3447600920845</v>
      </c>
      <c r="E47" s="187">
        <f>Rawdata!G61</f>
        <v>3714.0386593794428</v>
      </c>
      <c r="F47" s="187">
        <f>Rawdata!I61</f>
        <v>308.74048242351421</v>
      </c>
      <c r="G47" s="187">
        <f>Rawdata!J61</f>
        <v>322.13147505375406</v>
      </c>
      <c r="H47" s="187">
        <f>Rawdata!L61</f>
        <v>3196.0712466202299</v>
      </c>
      <c r="I47" s="187">
        <f>Rawdata!M61</f>
        <v>3334.6943587345145</v>
      </c>
      <c r="J47" s="187">
        <f>Rawdata!O61</f>
        <v>22388.617830471161</v>
      </c>
      <c r="K47" s="187">
        <f>Rawdata!P61</f>
        <v>25723.312189205677</v>
      </c>
      <c r="L47" s="188">
        <f>Rawdata!U61</f>
        <v>0.14822838039296071</v>
      </c>
      <c r="M47" s="188">
        <f>Rawdata!V61</f>
        <v>0.15917110634320036</v>
      </c>
      <c r="N47" s="188">
        <f>Rawdata!R61</f>
        <v>8.8286099080104929E-2</v>
      </c>
      <c r="O47" s="188">
        <f>Rawdata!S61</f>
        <v>8.3152034860978649E-2</v>
      </c>
    </row>
    <row r="48" spans="1:15" x14ac:dyDescent="0.2">
      <c r="A48" t="str">
        <f>Rawdata!C62</f>
        <v>HDG</v>
      </c>
      <c r="B48" t="str">
        <f>Rawdata!D62</f>
        <v>BUY</v>
      </c>
      <c r="C48" s="187">
        <f>Rawdata!E62</f>
        <v>33100</v>
      </c>
      <c r="D48" s="187">
        <f>Rawdata!F62</f>
        <v>3200.359629851157</v>
      </c>
      <c r="E48" s="187">
        <f>Rawdata!G62</f>
        <v>3675.3972413758484</v>
      </c>
      <c r="F48" s="187">
        <f>Rawdata!I62</f>
        <v>882.56169217931108</v>
      </c>
      <c r="G48" s="187">
        <f>Rawdata!J62</f>
        <v>1337.7359942528583</v>
      </c>
      <c r="H48" s="187">
        <f>Rawdata!L62</f>
        <v>2624.3285524213825</v>
      </c>
      <c r="I48" s="187">
        <f>Rawdata!M62</f>
        <v>3977.8055136867624</v>
      </c>
      <c r="J48" s="187">
        <f>Rawdata!O62</f>
        <v>25150.473128140748</v>
      </c>
      <c r="K48" s="187">
        <f>Rawdata!P62</f>
        <v>29813.373228198579</v>
      </c>
      <c r="L48" s="188">
        <f>Rawdata!U62</f>
        <v>0.13494247616399876</v>
      </c>
      <c r="M48" s="188">
        <f>Rawdata!V62</f>
        <v>0.1748576287319954</v>
      </c>
      <c r="N48" s="188">
        <f>Rawdata!R62</f>
        <v>7.6298339206592014E-2</v>
      </c>
      <c r="O48" s="188">
        <f>Rawdata!S62</f>
        <v>9.799044468992843E-2</v>
      </c>
    </row>
    <row r="49" spans="1:15" x14ac:dyDescent="0.2">
      <c r="A49" t="str">
        <f>Rawdata!C63</f>
        <v>NT2</v>
      </c>
      <c r="B49" t="str">
        <f>Rawdata!D63</f>
        <v>HOLD</v>
      </c>
      <c r="C49" s="187">
        <f>Rawdata!E63</f>
        <v>25300</v>
      </c>
      <c r="D49" s="187">
        <f>Rawdata!F63</f>
        <v>7381.225859107456</v>
      </c>
      <c r="E49" s="187">
        <f>Rawdata!G63</f>
        <v>7559.6851076890307</v>
      </c>
      <c r="F49" s="187">
        <f>Rawdata!I63</f>
        <v>528.85739052585723</v>
      </c>
      <c r="G49" s="187">
        <f>Rawdata!J63</f>
        <v>724.74410845643024</v>
      </c>
      <c r="H49" s="187">
        <f>Rawdata!L63</f>
        <v>1837.1011729005654</v>
      </c>
      <c r="I49" s="187">
        <f>Rawdata!M63</f>
        <v>2517.5562931515569</v>
      </c>
      <c r="J49" s="187">
        <f>Rawdata!O63</f>
        <v>17388.761121707907</v>
      </c>
      <c r="K49" s="187">
        <f>Rawdata!P63</f>
        <v>21406.286000295244</v>
      </c>
      <c r="L49" s="188">
        <f>Rawdata!U63</f>
        <v>0.11503292109237272</v>
      </c>
      <c r="M49" s="188">
        <f>Rawdata!V63</f>
        <v>0.12978751051567561</v>
      </c>
      <c r="N49" s="188">
        <f>Rawdata!R63</f>
        <v>5.587745148421519E-2</v>
      </c>
      <c r="O49" s="188">
        <f>Rawdata!S63</f>
        <v>6.7156397273038987E-2</v>
      </c>
    </row>
    <row r="50" spans="1:15" x14ac:dyDescent="0.2">
      <c r="A50" t="str">
        <f>Rawdata!C64</f>
        <v>QTP</v>
      </c>
      <c r="B50" t="str">
        <f>Rawdata!D64</f>
        <v>BUY</v>
      </c>
      <c r="C50" s="187">
        <f>Rawdata!E64</f>
        <v>12900</v>
      </c>
      <c r="D50" s="187">
        <f>Rawdata!F64</f>
        <v>12106.809923948334</v>
      </c>
      <c r="E50" s="187">
        <f>Rawdata!G64</f>
        <v>12129.312529156197</v>
      </c>
      <c r="F50" s="187">
        <f>Rawdata!I64</f>
        <v>783.61944470488447</v>
      </c>
      <c r="G50" s="187">
        <f>Rawdata!J64</f>
        <v>724.08521805342389</v>
      </c>
      <c r="H50" s="187">
        <f>Rawdata!L64</f>
        <v>1741.3765437886323</v>
      </c>
      <c r="I50" s="187">
        <f>Rawdata!M64</f>
        <v>1609.0782623409418</v>
      </c>
      <c r="J50" s="187">
        <f>Rawdata!O64</f>
        <v>11500</v>
      </c>
      <c r="K50" s="187">
        <f>Rawdata!P64</f>
        <v>11700</v>
      </c>
      <c r="L50" s="188">
        <f>Rawdata!U64</f>
        <v>0.15244595890736798</v>
      </c>
      <c r="M50" s="188">
        <f>Rawdata!V64</f>
        <v>0.13873591404116634</v>
      </c>
      <c r="N50" s="188">
        <f>Rawdata!R64</f>
        <v>0.10686117709955611</v>
      </c>
      <c r="O50" s="188">
        <f>Rawdata!S64</f>
        <v>9.846211183923094E-2</v>
      </c>
    </row>
    <row r="51" spans="1:15" x14ac:dyDescent="0.2">
      <c r="A51" t="str">
        <f>Rawdata!C65</f>
        <v>PC1</v>
      </c>
      <c r="B51" t="str">
        <f>Rawdata!D65</f>
        <v>BUY</v>
      </c>
      <c r="C51" s="187">
        <f>Rawdata!E65</f>
        <v>26700</v>
      </c>
      <c r="D51" s="187">
        <f>Rawdata!F65</f>
        <v>12788.225490566039</v>
      </c>
      <c r="E51" s="187">
        <f>Rawdata!G65</f>
        <v>14525.776793238754</v>
      </c>
      <c r="F51" s="187">
        <f>Rawdata!I65</f>
        <v>559.24020033434624</v>
      </c>
      <c r="G51" s="187">
        <f>Rawdata!J65</f>
        <v>1157.3367954407452</v>
      </c>
      <c r="H51" s="187">
        <f>Rawdata!L65</f>
        <v>1563.8708063040999</v>
      </c>
      <c r="I51" s="187">
        <f>Rawdata!M65</f>
        <v>3236.4004346776987</v>
      </c>
      <c r="J51" s="187">
        <f>Rawdata!O65</f>
        <v>23760.340552482809</v>
      </c>
      <c r="K51" s="187">
        <f>Rawdata!P65</f>
        <v>27864.524272297993</v>
      </c>
      <c r="L51" s="188">
        <f>Rawdata!U65</f>
        <v>9.6304460885396598E-2</v>
      </c>
      <c r="M51" s="188">
        <f>Rawdata!V65</f>
        <v>0.15900026987945176</v>
      </c>
      <c r="N51" s="188">
        <f>Rawdata!R65</f>
        <v>3.5958610223409029E-2</v>
      </c>
      <c r="O51" s="188">
        <f>Rawdata!S65</f>
        <v>6.6343783778927176E-2</v>
      </c>
    </row>
    <row r="52" spans="1:15" x14ac:dyDescent="0.2">
      <c r="A52" t="str">
        <f>Rawdata!C66</f>
        <v>POW</v>
      </c>
      <c r="B52" t="str">
        <f>Rawdata!D66</f>
        <v>BUY</v>
      </c>
      <c r="C52" s="187">
        <f>Rawdata!E66</f>
        <v>17700</v>
      </c>
      <c r="D52" s="187">
        <f>Rawdata!F66</f>
        <v>41988.326090667339</v>
      </c>
      <c r="E52" s="187">
        <f>Rawdata!G66</f>
        <v>60550.12507891313</v>
      </c>
      <c r="F52" s="187">
        <f>Rawdata!I66</f>
        <v>1562.508631536464</v>
      </c>
      <c r="G52" s="187">
        <f>Rawdata!J66</f>
        <v>2122.3377766318963</v>
      </c>
      <c r="H52" s="187">
        <f>Rawdata!L66</f>
        <v>667.22548105579642</v>
      </c>
      <c r="I52" s="187">
        <f>Rawdata!M66</f>
        <v>906.28481366124186</v>
      </c>
      <c r="J52" s="187">
        <f>Rawdata!O66</f>
        <v>15512.887863490554</v>
      </c>
      <c r="K52" s="187">
        <f>Rawdata!P66</f>
        <v>16573.31378921491</v>
      </c>
      <c r="L52" s="188">
        <f>Rawdata!U66</f>
        <v>5.233198860222555E-2</v>
      </c>
      <c r="M52" s="188">
        <f>Rawdata!V66</f>
        <v>6.6098563937370167E-2</v>
      </c>
      <c r="N52" s="188">
        <f>Rawdata!R66</f>
        <v>2.169589178965713E-2</v>
      </c>
      <c r="O52" s="188">
        <f>Rawdata!S66</f>
        <v>2.7015317046936181E-2</v>
      </c>
    </row>
    <row r="53" spans="1:15" x14ac:dyDescent="0.2">
      <c r="A53" t="str">
        <f>Rawdata!C67</f>
        <v>REE</v>
      </c>
      <c r="B53" t="str">
        <f>Rawdata!D67</f>
        <v>HOLD</v>
      </c>
      <c r="C53" s="187">
        <f>Rawdata!E67</f>
        <v>67300</v>
      </c>
      <c r="D53" s="187">
        <f>Rawdata!F67</f>
        <v>10132.351062660471</v>
      </c>
      <c r="E53" s="187">
        <f>Rawdata!G67</f>
        <v>12098.9989829144</v>
      </c>
      <c r="F53" s="187">
        <f>Rawdata!I67</f>
        <v>2486.9168827239628</v>
      </c>
      <c r="G53" s="187">
        <f>Rawdata!J67</f>
        <v>3043</v>
      </c>
      <c r="H53" s="187">
        <f>Rawdata!L67</f>
        <v>5279.41876102897</v>
      </c>
      <c r="I53" s="187">
        <f>Rawdata!M67</f>
        <v>6556.7218261297858</v>
      </c>
      <c r="J53" s="187">
        <f>Rawdata!O67</f>
        <v>54200.079179542656</v>
      </c>
      <c r="K53" s="187">
        <f>Rawdata!P67</f>
        <v>62262.309037359802</v>
      </c>
      <c r="L53" s="188">
        <f>Rawdata!U67</f>
        <v>0.12821126867675178</v>
      </c>
      <c r="M53" s="188">
        <f>Rawdata!V67</f>
        <v>0.1384520784994008</v>
      </c>
      <c r="N53" s="188">
        <f>Rawdata!R67</f>
        <v>8.3004920450693367E-2</v>
      </c>
      <c r="O53" s="188">
        <f>Rawdata!S67</f>
        <v>9.6570825029158605E-2</v>
      </c>
    </row>
    <row r="54" spans="1:15" x14ac:dyDescent="0.2">
      <c r="A54" t="str">
        <f>Rawdata!C68</f>
        <v>VEA</v>
      </c>
      <c r="B54" t="str">
        <f>Rawdata!D68</f>
        <v>HOLD</v>
      </c>
      <c r="C54" s="187">
        <f>Rawdata!E68</f>
        <v>41500</v>
      </c>
      <c r="D54" s="187">
        <f>Rawdata!F68</f>
        <v>4321.0147138397879</v>
      </c>
      <c r="E54" s="187">
        <f>Rawdata!G68</f>
        <v>4387.8945207207807</v>
      </c>
      <c r="F54" s="187">
        <f>Rawdata!I68</f>
        <v>7293.4831047503503</v>
      </c>
      <c r="G54" s="187">
        <f>Rawdata!J68</f>
        <v>7444.5010130509536</v>
      </c>
      <c r="H54" s="187">
        <f>Rawdata!L68</f>
        <v>5488.7741607091739</v>
      </c>
      <c r="I54" s="187">
        <f>Rawdata!M68</f>
        <v>5602.4240013929521</v>
      </c>
      <c r="J54" s="187">
        <f>Rawdata!O68</f>
        <v>19802.284336495417</v>
      </c>
      <c r="K54" s="187">
        <f>Rawdata!P68</f>
        <v>19860.106483905376</v>
      </c>
      <c r="L54" s="188">
        <f>Rawdata!U68</f>
        <v>0.28044071133591336</v>
      </c>
      <c r="M54" s="188">
        <f>Rawdata!V68</f>
        <v>0.28542132895788513</v>
      </c>
      <c r="N54" s="188">
        <f>Rawdata!R68</f>
        <v>0.26691026886192309</v>
      </c>
      <c r="O54" s="188">
        <f>Rawdata!S68</f>
        <v>0.27156913879094158</v>
      </c>
    </row>
    <row r="55" spans="1:15" x14ac:dyDescent="0.2">
      <c r="A55" t="str">
        <f>Rawdata!C69</f>
        <v>VGC</v>
      </c>
      <c r="B55" t="str">
        <f>Rawdata!D69</f>
        <v>HOLD</v>
      </c>
      <c r="C55" s="187">
        <f>Rawdata!E69</f>
        <v>46100</v>
      </c>
      <c r="D55" s="187">
        <f>Rawdata!F69</f>
        <v>12419.734485362647</v>
      </c>
      <c r="E55" s="187">
        <f>Rawdata!G69</f>
        <v>12210.714048534817</v>
      </c>
      <c r="F55" s="187">
        <f>Rawdata!I69</f>
        <v>1109.8260013156537</v>
      </c>
      <c r="G55" s="187">
        <f>Rawdata!J69</f>
        <v>1068.2900394628464</v>
      </c>
      <c r="H55" s="187">
        <f>Rawdata!L69</f>
        <v>2475.0802883935185</v>
      </c>
      <c r="I55" s="187">
        <f>Rawdata!M69</f>
        <v>2382.4487945201749</v>
      </c>
      <c r="J55" s="187">
        <f>Rawdata!O69</f>
        <v>24110.108001605829</v>
      </c>
      <c r="K55" s="187">
        <f>Rawdata!P69</f>
        <v>26754.250843487414</v>
      </c>
      <c r="L55" s="188">
        <f>Rawdata!U69</f>
        <v>0.12437947315049287</v>
      </c>
      <c r="M55" s="188">
        <f>Rawdata!V69</f>
        <v>0.10396839366182864</v>
      </c>
      <c r="N55" s="188">
        <f>Rawdata!R69</f>
        <v>5.0983534831844375E-2</v>
      </c>
      <c r="O55" s="188">
        <f>Rawdata!S69</f>
        <v>4.4888865705937822E-2</v>
      </c>
    </row>
    <row r="56" spans="1:15" x14ac:dyDescent="0.2">
      <c r="A56" t="str">
        <f>Rawdata!C70</f>
        <v>PVS</v>
      </c>
      <c r="B56" t="str">
        <f>Rawdata!D70</f>
        <v>BUY</v>
      </c>
      <c r="C56" s="187">
        <f>Rawdata!E70</f>
        <v>38600</v>
      </c>
      <c r="D56" s="187">
        <f>Rawdata!F70</f>
        <v>36151</v>
      </c>
      <c r="E56" s="187">
        <f>Rawdata!G70</f>
        <v>43138</v>
      </c>
      <c r="F56" s="187">
        <f>Rawdata!I70</f>
        <v>1177</v>
      </c>
      <c r="G56" s="187">
        <f>Rawdata!J70</f>
        <v>1061</v>
      </c>
      <c r="H56" s="187">
        <f>Rawdata!L70</f>
        <v>1847</v>
      </c>
      <c r="I56" s="187">
        <f>Rawdata!M70</f>
        <v>1665</v>
      </c>
      <c r="J56" s="187">
        <f>Rawdata!O70</f>
        <v>27850</v>
      </c>
      <c r="K56" s="187">
        <f>Rawdata!P70</f>
        <v>30060</v>
      </c>
      <c r="L56" s="188">
        <f>Rawdata!U70</f>
        <v>0.09</v>
      </c>
      <c r="M56" s="188">
        <f>Rawdata!V70</f>
        <v>0.08</v>
      </c>
      <c r="N56" s="188">
        <f>Rawdata!R70</f>
        <v>4.7E-2</v>
      </c>
      <c r="O56" s="188">
        <f>Rawdata!S70</f>
        <v>0.04</v>
      </c>
    </row>
    <row r="57" spans="1:15" x14ac:dyDescent="0.2">
      <c r="A57" t="str">
        <f>Rawdata!C71</f>
        <v>GAS</v>
      </c>
      <c r="B57" t="str">
        <f>Rawdata!D71</f>
        <v>BUY</v>
      </c>
      <c r="C57" s="187">
        <f>Rawdata!E71</f>
        <v>80200</v>
      </c>
      <c r="D57" s="187">
        <f>Rawdata!F71</f>
        <v>108710</v>
      </c>
      <c r="E57" s="187">
        <f>Rawdata!G71</f>
        <v>119613</v>
      </c>
      <c r="F57" s="187">
        <f>Rawdata!I71</f>
        <v>13131</v>
      </c>
      <c r="G57" s="187">
        <f>Rawdata!J71</f>
        <v>12278</v>
      </c>
      <c r="H57" s="187">
        <f>Rawdata!L71</f>
        <v>5605</v>
      </c>
      <c r="I57" s="187">
        <f>Rawdata!M71</f>
        <v>5241</v>
      </c>
      <c r="J57" s="187">
        <f>Rawdata!O71</f>
        <v>26696</v>
      </c>
      <c r="K57" s="187">
        <f>Rawdata!P71</f>
        <v>27887</v>
      </c>
      <c r="L57" s="188">
        <f>Rawdata!U71</f>
        <v>0.18</v>
      </c>
      <c r="M57" s="188">
        <f>Rawdata!V71</f>
        <v>0.16</v>
      </c>
      <c r="N57" s="188">
        <f>Rawdata!R71</f>
        <v>0.15</v>
      </c>
      <c r="O57" s="188">
        <f>Rawdata!S71</f>
        <v>0.15</v>
      </c>
    </row>
    <row r="58" spans="1:15" x14ac:dyDescent="0.2">
      <c r="A58" t="str">
        <f>Rawdata!C72</f>
        <v>PVB</v>
      </c>
      <c r="B58" t="str">
        <f>Rawdata!D72</f>
        <v>BUY</v>
      </c>
      <c r="C58" s="187">
        <f>Rawdata!E72</f>
        <v>38700</v>
      </c>
      <c r="D58" s="187">
        <f>Rawdata!F72</f>
        <v>480</v>
      </c>
      <c r="E58" s="187">
        <f>Rawdata!G72</f>
        <v>1510</v>
      </c>
      <c r="F58" s="187">
        <f>Rawdata!I72</f>
        <v>56</v>
      </c>
      <c r="G58" s="187">
        <f>Rawdata!J72</f>
        <v>163</v>
      </c>
      <c r="H58" s="187">
        <f>Rawdata!L72</f>
        <v>2464</v>
      </c>
      <c r="I58" s="187">
        <f>Rawdata!M72</f>
        <v>7175</v>
      </c>
      <c r="J58" s="187">
        <f>Rawdata!O72</f>
        <v>21806</v>
      </c>
      <c r="K58" s="187">
        <f>Rawdata!P72</f>
        <v>28900</v>
      </c>
      <c r="L58" s="188">
        <f>Rawdata!U72</f>
        <v>0.11</v>
      </c>
      <c r="M58" s="188">
        <f>Rawdata!V72</f>
        <v>0.28000000000000003</v>
      </c>
      <c r="N58" s="188">
        <f>Rawdata!R72</f>
        <v>0.03</v>
      </c>
      <c r="O58" s="188">
        <f>Rawdata!S72</f>
        <v>0.13</v>
      </c>
    </row>
    <row r="59" spans="1:15" x14ac:dyDescent="0.2">
      <c r="A59" t="str">
        <f>Rawdata!C73</f>
        <v>HPG</v>
      </c>
      <c r="B59" t="str">
        <f>Rawdata!D73</f>
        <v>BUY</v>
      </c>
      <c r="C59" s="187">
        <f>Rawdata!E73</f>
        <v>32300</v>
      </c>
      <c r="D59" s="187">
        <f>Rawdata!F73</f>
        <v>173016.06856444062</v>
      </c>
      <c r="E59" s="187">
        <f>Rawdata!G73</f>
        <v>217293.39469760348</v>
      </c>
      <c r="F59" s="187">
        <f>Rawdata!I73</f>
        <v>15816.642425681932</v>
      </c>
      <c r="G59" s="187">
        <f>Rawdata!J73</f>
        <v>22693.427169644921</v>
      </c>
      <c r="H59" s="187">
        <f>Rawdata!L73</f>
        <v>2472.7937680539162</v>
      </c>
      <c r="I59" s="187">
        <f>Rawdata!M73</f>
        <v>3547.9189432623175</v>
      </c>
      <c r="J59" s="187">
        <f>Rawdata!O73</f>
        <v>20395.985246538083</v>
      </c>
      <c r="K59" s="187">
        <f>Rawdata!P73</f>
        <v>23942.561417024619</v>
      </c>
      <c r="L59" s="188">
        <f>Rawdata!U73</f>
        <v>0.12123924086842712</v>
      </c>
      <c r="M59" s="188">
        <f>Rawdata!V73</f>
        <v>0.14818460236838032</v>
      </c>
      <c r="N59" s="188">
        <f>Rawdata!R73</f>
        <v>6.3580475393769778E-2</v>
      </c>
      <c r="O59" s="188">
        <f>Rawdata!S73</f>
        <v>7.6010430097619167E-2</v>
      </c>
    </row>
    <row r="60" spans="1:15" x14ac:dyDescent="0.2">
      <c r="A60" t="str">
        <f>Rawdata!C74</f>
        <v>HSG</v>
      </c>
      <c r="B60" t="str">
        <f>Rawdata!D74</f>
        <v>HOLD</v>
      </c>
      <c r="C60" s="187">
        <f>Rawdata!E74</f>
        <v>19900</v>
      </c>
      <c r="D60" s="187">
        <f>Rawdata!F74</f>
        <v>37911.722685378576</v>
      </c>
      <c r="E60" s="187">
        <f>Rawdata!G74</f>
        <v>39852.354629288704</v>
      </c>
      <c r="F60" s="187">
        <f>Rawdata!I74</f>
        <v>740.81612055842879</v>
      </c>
      <c r="G60" s="187">
        <f>Rawdata!J74</f>
        <v>705.1480294020655</v>
      </c>
      <c r="H60" s="187">
        <f>Rawdata!L74</f>
        <v>1192.9745981836477</v>
      </c>
      <c r="I60" s="187">
        <f>Rawdata!M74</f>
        <v>1135.5364221850407</v>
      </c>
      <c r="J60" s="187">
        <f>Rawdata!O74</f>
        <v>18767.305074915475</v>
      </c>
      <c r="K60" s="187">
        <f>Rawdata!P74</f>
        <v>19906.004896573464</v>
      </c>
      <c r="L60" s="188">
        <f>Rawdata!U74</f>
        <v>6.3569697280231124E-2</v>
      </c>
      <c r="M60" s="188">
        <f>Rawdata!V74</f>
        <v>5.7047796997929577E-2</v>
      </c>
      <c r="N60" s="188">
        <f>Rawdata!R74</f>
        <v>3.6596329061038983E-2</v>
      </c>
      <c r="O60" s="188">
        <f>Rawdata!S74</f>
        <v>3.3242790566819884E-2</v>
      </c>
    </row>
    <row r="61" spans="1:15" x14ac:dyDescent="0.2">
      <c r="A61" t="str">
        <f>Rawdata!C75</f>
        <v>NKG</v>
      </c>
      <c r="B61" t="str">
        <f>Rawdata!D75</f>
        <v>HOLD</v>
      </c>
      <c r="C61" s="187">
        <f>Rawdata!E75</f>
        <v>14400</v>
      </c>
      <c r="D61" s="187">
        <f>Rawdata!F75</f>
        <v>16996.154601796028</v>
      </c>
      <c r="E61" s="187">
        <f>Rawdata!G75</f>
        <v>29707.73641899545</v>
      </c>
      <c r="F61" s="187">
        <f>Rawdata!I75</f>
        <v>300.58268860286302</v>
      </c>
      <c r="G61" s="187">
        <f>Rawdata!J75</f>
        <v>256.00340901672286</v>
      </c>
      <c r="H61" s="187">
        <f>Rawdata!L75</f>
        <v>671.58678404474449</v>
      </c>
      <c r="I61" s="187">
        <f>Rawdata!M75</f>
        <v>571.98405858026058</v>
      </c>
      <c r="J61" s="187">
        <f>Rawdata!O75</f>
        <v>14378.207658857642</v>
      </c>
      <c r="K61" s="187">
        <f>Rawdata!P75</f>
        <v>14950.191717437903</v>
      </c>
      <c r="L61" s="188">
        <f>Rawdata!U75</f>
        <v>4.6708657989858425E-2</v>
      </c>
      <c r="M61" s="188">
        <f>Rawdata!V75</f>
        <v>3.8253595675004505E-2</v>
      </c>
      <c r="N61" s="188">
        <f>Rawdata!R75</f>
        <v>1.9066949447723497E-2</v>
      </c>
      <c r="O61" s="188">
        <f>Rawdata!S75</f>
        <v>1.0993627882397456E-2</v>
      </c>
    </row>
    <row r="62" spans="1:15" x14ac:dyDescent="0.2">
      <c r="A62" t="str">
        <f>Rawdata!C76</f>
        <v>NTP</v>
      </c>
      <c r="B62" t="str">
        <f>Rawdata!D76</f>
        <v>HOLD</v>
      </c>
      <c r="C62" s="187">
        <f>Rawdata!E76</f>
        <v>66000</v>
      </c>
      <c r="D62" s="187">
        <f>Rawdata!F76</f>
        <v>6448.4827485242995</v>
      </c>
      <c r="E62" s="187">
        <f>Rawdata!G76</f>
        <v>7093.3310233767306</v>
      </c>
      <c r="F62" s="187">
        <f>Rawdata!I76</f>
        <v>957.08258793165487</v>
      </c>
      <c r="G62" s="187">
        <f>Rawdata!J76</f>
        <v>1070.9820305174876</v>
      </c>
      <c r="H62" s="187">
        <f>Rawdata!L76</f>
        <v>6064.5021918946986</v>
      </c>
      <c r="I62" s="187">
        <f>Rawdata!M76</f>
        <v>7513.9610512204208</v>
      </c>
      <c r="J62" s="187">
        <f>Rawdata!O76</f>
        <v>31528.867270075145</v>
      </c>
      <c r="K62" s="187">
        <f>Rawdata!P76</f>
        <v>38133.73369119758</v>
      </c>
      <c r="L62" s="188">
        <f>Rawdata!U76</f>
        <v>0.21297459570579044</v>
      </c>
      <c r="M62" s="188">
        <f>Rawdata!V76</f>
        <v>0.19704236443427176</v>
      </c>
      <c r="N62" s="188">
        <f>Rawdata!R76</f>
        <v>0.1224828513502583</v>
      </c>
      <c r="O62" s="188">
        <f>Rawdata!S76</f>
        <v>0.11896106550459738</v>
      </c>
    </row>
    <row r="63" spans="1:15" x14ac:dyDescent="0.2">
      <c r="A63" t="str">
        <f>Rawdata!C77</f>
        <v>CTD</v>
      </c>
      <c r="B63" t="str">
        <f>Rawdata!D77</f>
        <v>BUY</v>
      </c>
      <c r="C63" s="187">
        <f>Rawdata!E77</f>
        <v>96200</v>
      </c>
      <c r="D63" s="187">
        <f>Rawdata!F77</f>
        <v>24866.699280000001</v>
      </c>
      <c r="E63" s="187">
        <f>Rawdata!G77</f>
        <v>29750</v>
      </c>
      <c r="F63" s="187">
        <f>Rawdata!I77</f>
        <v>453.83783979999998</v>
      </c>
      <c r="G63" s="187">
        <f>Rawdata!J77</f>
        <v>433.18357260815606</v>
      </c>
      <c r="H63" s="187">
        <f>Rawdata!L77</f>
        <v>4541.5568519784256</v>
      </c>
      <c r="I63" s="187">
        <f>Rawdata!M77</f>
        <v>4334.8695278693358</v>
      </c>
      <c r="J63" s="187">
        <f>Rawdata!O77</f>
        <v>89690.770982980146</v>
      </c>
      <c r="K63" s="187">
        <f>Rawdata!P77</f>
        <v>94012.642514819338</v>
      </c>
      <c r="L63" s="188">
        <f>Rawdata!U77</f>
        <v>5.0635720957736427E-2</v>
      </c>
      <c r="M63" s="188">
        <f>Rawdata!V77</f>
        <v>4.6109431794622992E-2</v>
      </c>
      <c r="N63" s="188">
        <f>Rawdata!R77</f>
        <v>1.534117025994659E-2</v>
      </c>
      <c r="O63" s="188">
        <f>Rawdata!S77</f>
        <v>1.3599236118593504E-2</v>
      </c>
    </row>
    <row r="64" spans="1:15" x14ac:dyDescent="0.2">
      <c r="A64" t="str">
        <f>Rawdata!C78</f>
        <v>BMP</v>
      </c>
      <c r="B64" t="str">
        <f>Rawdata!D78</f>
        <v>HOLD</v>
      </c>
      <c r="C64" s="187">
        <f>Rawdata!E78</f>
        <v>151200</v>
      </c>
      <c r="D64" s="187">
        <f>Rawdata!F78</f>
        <v>5654.2080000000005</v>
      </c>
      <c r="E64" s="187">
        <f>Rawdata!G78</f>
        <v>5908.6473600000008</v>
      </c>
      <c r="F64" s="187">
        <f>Rawdata!I78</f>
        <v>1237.4429253516264</v>
      </c>
      <c r="G64" s="187">
        <f>Rawdata!J78</f>
        <v>1126.2410899606955</v>
      </c>
      <c r="H64" s="187">
        <f>Rawdata!L78</f>
        <v>15116.402958290391</v>
      </c>
      <c r="I64" s="187">
        <f>Rawdata!M78</f>
        <v>13757.979293624699</v>
      </c>
      <c r="J64" s="187">
        <f>Rawdata!O78</f>
        <v>36119.933897552291</v>
      </c>
      <c r="K64" s="187">
        <f>Rawdata!P78</f>
        <v>36877.913191176987</v>
      </c>
      <c r="L64" s="188">
        <f>Rawdata!U78</f>
        <v>0.41850583118909773</v>
      </c>
      <c r="M64" s="188">
        <f>Rawdata!V78</f>
        <v>0.37306827049303559</v>
      </c>
      <c r="N64" s="188">
        <f>Rawdata!R78</f>
        <v>0.34840588101953884</v>
      </c>
      <c r="O64" s="188">
        <f>Rawdata!S78</f>
        <v>0.3062516653308105</v>
      </c>
    </row>
    <row r="65" spans="1:15" x14ac:dyDescent="0.2">
      <c r="A65" t="str">
        <f>Rawdata!C79</f>
        <v>BAF</v>
      </c>
      <c r="B65" t="str">
        <f>Rawdata!D79</f>
        <v>NA</v>
      </c>
      <c r="C65" s="187">
        <f>Rawdata!E79</f>
        <v>0</v>
      </c>
      <c r="D65" s="187">
        <f>Rawdata!F79</f>
        <v>4962</v>
      </c>
      <c r="E65" s="187">
        <f>Rawdata!G79</f>
        <v>5537</v>
      </c>
      <c r="F65" s="187">
        <f>Rawdata!I79</f>
        <v>525</v>
      </c>
      <c r="G65" s="187">
        <f>Rawdata!J79</f>
        <v>561</v>
      </c>
      <c r="H65" s="187">
        <f>Rawdata!L79</f>
        <v>2108</v>
      </c>
      <c r="I65" s="187">
        <f>Rawdata!M79</f>
        <v>2247</v>
      </c>
      <c r="J65" s="187">
        <f>Rawdata!O79</f>
        <v>14680</v>
      </c>
      <c r="K65" s="187">
        <f>Rawdata!P79</f>
        <v>16411</v>
      </c>
      <c r="L65" s="188">
        <f>Rawdata!U79</f>
        <v>0.10299999999999999</v>
      </c>
      <c r="M65" s="188">
        <f>Rawdata!V79</f>
        <v>0.106</v>
      </c>
      <c r="N65" s="188">
        <f>Rawdata!R79</f>
        <v>4.4999999999999998E-2</v>
      </c>
      <c r="O65" s="188">
        <f>Rawdata!S79</f>
        <v>4.8000000000000001E-2</v>
      </c>
    </row>
    <row r="66" spans="1:15" x14ac:dyDescent="0.2">
      <c r="A66" t="str">
        <f>Rawdata!C80</f>
        <v>DBC</v>
      </c>
      <c r="B66" t="str">
        <f>Rawdata!D80</f>
        <v>BUY</v>
      </c>
      <c r="C66" s="187">
        <f>Rawdata!E80</f>
        <v>32200</v>
      </c>
      <c r="D66" s="187">
        <f>Rawdata!F80</f>
        <v>15152</v>
      </c>
      <c r="E66" s="187">
        <f>Rawdata!G80</f>
        <v>16823</v>
      </c>
      <c r="F66" s="187">
        <f>Rawdata!I80</f>
        <v>1643</v>
      </c>
      <c r="G66" s="187">
        <f>Rawdata!J80</f>
        <v>1763</v>
      </c>
      <c r="H66" s="187">
        <f>Rawdata!L80</f>
        <v>3634</v>
      </c>
      <c r="I66" s="187">
        <f>Rawdata!M80</f>
        <v>3898</v>
      </c>
      <c r="J66" s="187">
        <f>Rawdata!O80</f>
        <v>24637</v>
      </c>
      <c r="K66" s="187">
        <f>Rawdata!P80</f>
        <v>29378</v>
      </c>
      <c r="L66" s="188">
        <f>Rawdata!U80</f>
        <v>0.19</v>
      </c>
      <c r="M66" s="188">
        <f>Rawdata!V80</f>
        <v>0.18</v>
      </c>
      <c r="N66" s="188">
        <f>Rawdata!R80</f>
        <v>0.1</v>
      </c>
      <c r="O66" s="188">
        <f>Rawdata!S80</f>
        <v>0.1</v>
      </c>
    </row>
    <row r="67" spans="1:15" x14ac:dyDescent="0.2">
      <c r="A67" t="str">
        <f>Rawdata!C81</f>
        <v>DGW</v>
      </c>
      <c r="B67" t="str">
        <f>Rawdata!D81</f>
        <v>HOLD</v>
      </c>
      <c r="C67" s="187">
        <f>Rawdata!E81</f>
        <v>52900</v>
      </c>
      <c r="D67" s="187">
        <f>Rawdata!F81</f>
        <v>24678</v>
      </c>
      <c r="E67" s="187">
        <f>Rawdata!G81</f>
        <v>27682</v>
      </c>
      <c r="F67" s="187">
        <f>Rawdata!I81</f>
        <v>530</v>
      </c>
      <c r="G67" s="187">
        <f>Rawdata!J81</f>
        <v>644</v>
      </c>
      <c r="H67" s="187">
        <f>Rawdata!L81</f>
        <v>2418</v>
      </c>
      <c r="I67" s="187">
        <f>Rawdata!M81</f>
        <v>2938</v>
      </c>
      <c r="J67" s="187">
        <f>Rawdata!O81</f>
        <v>15747</v>
      </c>
      <c r="K67" s="187">
        <f>Rawdata!P81</f>
        <v>18488</v>
      </c>
      <c r="L67" s="188">
        <f>Rawdata!U81</f>
        <v>0.15</v>
      </c>
      <c r="M67" s="188">
        <f>Rawdata!V81</f>
        <v>0.16</v>
      </c>
      <c r="N67" s="188">
        <f>Rawdata!R81</f>
        <v>0.06</v>
      </c>
      <c r="O67" s="188">
        <f>Rawdata!S81</f>
        <v>0.06</v>
      </c>
    </row>
    <row r="68" spans="1:15" x14ac:dyDescent="0.2">
      <c r="A68" t="str">
        <f>Rawdata!C82</f>
        <v>FRT</v>
      </c>
      <c r="B68" t="str">
        <f>Rawdata!D82</f>
        <v>BUY</v>
      </c>
      <c r="C68" s="187">
        <f>Rawdata!E82</f>
        <v>171300</v>
      </c>
      <c r="D68" s="187">
        <f>Rawdata!F82</f>
        <v>49315</v>
      </c>
      <c r="E68" s="187">
        <f>Rawdata!G82</f>
        <v>57754</v>
      </c>
      <c r="F68" s="187">
        <f>Rawdata!I82</f>
        <v>610</v>
      </c>
      <c r="G68" s="187">
        <f>Rawdata!J82</f>
        <v>865</v>
      </c>
      <c r="H68" s="187">
        <f>Rawdata!L82</f>
        <v>4481</v>
      </c>
      <c r="I68" s="187">
        <f>Rawdata!M82</f>
        <v>6350</v>
      </c>
      <c r="J68" s="187">
        <f>Rawdata!O82</f>
        <v>18520</v>
      </c>
      <c r="K68" s="187">
        <f>Rawdata!P82</f>
        <v>24878</v>
      </c>
      <c r="L68" s="188">
        <f>Rawdata!U82</f>
        <v>0.24</v>
      </c>
      <c r="M68" s="188">
        <f>Rawdata!V82</f>
        <v>0.26</v>
      </c>
      <c r="N68" s="188">
        <f>Rawdata!R82</f>
        <v>0.03</v>
      </c>
      <c r="O68" s="188">
        <f>Rawdata!S82</f>
        <v>0.04</v>
      </c>
    </row>
    <row r="69" spans="1:15" x14ac:dyDescent="0.2">
      <c r="A69" t="str">
        <f>Rawdata!C83</f>
        <v>MSN</v>
      </c>
      <c r="B69" t="str">
        <f>Rawdata!D83</f>
        <v>BUY</v>
      </c>
      <c r="C69" s="187">
        <f>Rawdata!E83</f>
        <v>92700</v>
      </c>
      <c r="D69" s="187">
        <f>Rawdata!F83</f>
        <v>79506</v>
      </c>
      <c r="E69" s="187">
        <f>Rawdata!G83</f>
        <v>86215</v>
      </c>
      <c r="F69" s="187">
        <f>Rawdata!I83</f>
        <v>3435</v>
      </c>
      <c r="G69" s="187">
        <f>Rawdata!J83</f>
        <v>4216</v>
      </c>
      <c r="H69" s="187">
        <f>Rawdata!L83</f>
        <v>2270</v>
      </c>
      <c r="I69" s="187">
        <f>Rawdata!M83</f>
        <v>2787</v>
      </c>
      <c r="J69" s="187">
        <f>Rawdata!O83</f>
        <v>22258</v>
      </c>
      <c r="K69" s="187">
        <f>Rawdata!P83</f>
        <v>25042</v>
      </c>
      <c r="L69" s="188">
        <f>Rawdata!U83</f>
        <v>0.12</v>
      </c>
      <c r="M69" s="188">
        <f>Rawdata!V83</f>
        <v>0.14000000000000001</v>
      </c>
      <c r="N69" s="188">
        <f>Rawdata!R83</f>
        <v>0.04</v>
      </c>
      <c r="O69" s="188">
        <f>Rawdata!S83</f>
        <v>0.05</v>
      </c>
    </row>
    <row r="70" spans="1:15" x14ac:dyDescent="0.2">
      <c r="A70" t="str">
        <f>Rawdata!C84</f>
        <v>MWG</v>
      </c>
      <c r="B70" t="str">
        <f>Rawdata!D84</f>
        <v>BUY</v>
      </c>
      <c r="C70" s="187">
        <f>Rawdata!E84</f>
        <v>84700</v>
      </c>
      <c r="D70" s="187">
        <f>Rawdata!F84</f>
        <v>153559</v>
      </c>
      <c r="E70" s="187">
        <f>Rawdata!G84</f>
        <v>172781</v>
      </c>
      <c r="F70" s="187">
        <f>Rawdata!I84</f>
        <v>5800</v>
      </c>
      <c r="G70" s="187">
        <f>Rawdata!J84</f>
        <v>6841</v>
      </c>
      <c r="H70" s="187">
        <f>Rawdata!L84</f>
        <v>3909</v>
      </c>
      <c r="I70" s="187">
        <f>Rawdata!M84</f>
        <v>4611</v>
      </c>
      <c r="J70" s="187">
        <f>Rawdata!O84</f>
        <v>22026</v>
      </c>
      <c r="K70" s="187">
        <f>Rawdata!P84</f>
        <v>25670</v>
      </c>
      <c r="L70" s="188">
        <f>Rawdata!U84</f>
        <v>0.17699999999999999</v>
      </c>
      <c r="M70" s="188">
        <f>Rawdata!V84</f>
        <v>0.18</v>
      </c>
      <c r="N70" s="188">
        <f>Rawdata!R84</f>
        <v>7.5999999999999998E-2</v>
      </c>
      <c r="O70" s="188">
        <f>Rawdata!S84</f>
        <v>8.1000000000000003E-2</v>
      </c>
    </row>
    <row r="71" spans="1:15" x14ac:dyDescent="0.2">
      <c r="A71" t="str">
        <f>Rawdata!C85</f>
        <v>PNJ</v>
      </c>
      <c r="B71" t="str">
        <f>Rawdata!D85</f>
        <v>HOLD</v>
      </c>
      <c r="C71" s="187">
        <f>Rawdata!E85</f>
        <v>83000</v>
      </c>
      <c r="D71" s="187">
        <f>Rawdata!F85</f>
        <v>31700</v>
      </c>
      <c r="E71" s="187">
        <f>Rawdata!G85</f>
        <v>33514</v>
      </c>
      <c r="F71" s="187">
        <f>Rawdata!I85</f>
        <v>2074</v>
      </c>
      <c r="G71" s="187">
        <f>Rawdata!J85</f>
        <v>2229</v>
      </c>
      <c r="H71" s="187">
        <f>Rawdata!L85</f>
        <v>5532</v>
      </c>
      <c r="I71" s="187">
        <f>Rawdata!M85</f>
        <v>6072</v>
      </c>
      <c r="J71" s="187">
        <f>Rawdata!O85</f>
        <v>36614</v>
      </c>
      <c r="K71" s="187">
        <f>Rawdata!P85</f>
        <v>40695</v>
      </c>
      <c r="L71" s="188">
        <f>Rawdata!U85</f>
        <v>0.17</v>
      </c>
      <c r="M71" s="188">
        <f>Rawdata!V85</f>
        <v>0.17</v>
      </c>
      <c r="N71" s="188">
        <f>Rawdata!R85</f>
        <v>0.11</v>
      </c>
      <c r="O71" s="188">
        <f>Rawdata!S85</f>
        <v>0.11</v>
      </c>
    </row>
    <row r="72" spans="1:15" x14ac:dyDescent="0.2">
      <c r="A72" t="str">
        <f>Rawdata!C86</f>
        <v>VNM</v>
      </c>
      <c r="B72" t="str">
        <f>Rawdata!D86</f>
        <v>BUY</v>
      </c>
      <c r="C72" s="187">
        <f>Rawdata!E86</f>
        <v>64600</v>
      </c>
      <c r="D72" s="187">
        <f>Rawdata!F86</f>
        <v>63188</v>
      </c>
      <c r="E72" s="187">
        <f>Rawdata!G86</f>
        <v>66202</v>
      </c>
      <c r="F72" s="187">
        <f>Rawdata!I86</f>
        <v>9144</v>
      </c>
      <c r="G72" s="187">
        <f>Rawdata!J86</f>
        <v>9597</v>
      </c>
      <c r="H72" s="187">
        <f>Rawdata!L86</f>
        <v>3916</v>
      </c>
      <c r="I72" s="187">
        <f>Rawdata!M86</f>
        <v>4110</v>
      </c>
      <c r="J72" s="187">
        <f>Rawdata!O86</f>
        <v>17911</v>
      </c>
      <c r="K72" s="187">
        <f>Rawdata!P86</f>
        <v>18543</v>
      </c>
      <c r="L72" s="188">
        <f>Rawdata!U86</f>
        <v>0.26</v>
      </c>
      <c r="M72" s="188">
        <f>Rawdata!V86</f>
        <v>0.25</v>
      </c>
      <c r="N72" s="188">
        <f>Rawdata!R86</f>
        <v>0.17</v>
      </c>
      <c r="O72" s="188">
        <f>Rawdata!S86</f>
        <v>0.17</v>
      </c>
    </row>
    <row r="73" spans="1:15" x14ac:dyDescent="0.2">
      <c r="A73" t="str">
        <f>Rawdata!C87</f>
        <v>HAH</v>
      </c>
      <c r="B73" t="str">
        <f>Rawdata!D87</f>
        <v>BUY</v>
      </c>
      <c r="C73" s="187">
        <f>Rawdata!E87</f>
        <v>61700</v>
      </c>
      <c r="D73" s="187">
        <f>Rawdata!F87</f>
        <v>4727</v>
      </c>
      <c r="E73" s="187">
        <f>Rawdata!G87</f>
        <v>5196</v>
      </c>
      <c r="F73" s="187">
        <f>Rawdata!I87</f>
        <v>774</v>
      </c>
      <c r="G73" s="187">
        <f>Rawdata!J87</f>
        <v>891</v>
      </c>
      <c r="H73" s="187">
        <f>Rawdata!L87</f>
        <v>6379</v>
      </c>
      <c r="I73" s="187">
        <f>Rawdata!M87</f>
        <v>7340</v>
      </c>
      <c r="J73" s="187">
        <f>Rawdata!O87</f>
        <v>32179</v>
      </c>
      <c r="K73" s="187">
        <f>Rawdata!P87</f>
        <v>38775</v>
      </c>
      <c r="L73" s="188">
        <f>Rawdata!U87</f>
        <v>0.16</v>
      </c>
      <c r="M73" s="188">
        <f>Rawdata!V87</f>
        <v>0.15</v>
      </c>
      <c r="N73" s="188">
        <f>Rawdata!R87</f>
        <v>0.1</v>
      </c>
      <c r="O73" s="188">
        <f>Rawdata!S87</f>
        <v>0.1</v>
      </c>
    </row>
    <row r="74" spans="1:15" x14ac:dyDescent="0.2">
      <c r="A74" t="str">
        <f>Rawdata!C88</f>
        <v>ANV</v>
      </c>
      <c r="B74" t="str">
        <f>Rawdata!D88</f>
        <v>BUY</v>
      </c>
      <c r="C74" s="187">
        <f>Rawdata!E88</f>
        <v>36000</v>
      </c>
      <c r="D74" s="187">
        <f>Rawdata!F88</f>
        <v>5928</v>
      </c>
      <c r="E74" s="187">
        <f>Rawdata!G88</f>
        <v>6474</v>
      </c>
      <c r="F74" s="187">
        <f>Rawdata!I88</f>
        <v>955</v>
      </c>
      <c r="G74" s="187">
        <f>Rawdata!J88</f>
        <v>1136</v>
      </c>
      <c r="H74" s="187">
        <f>Rawdata!L88</f>
        <v>3588</v>
      </c>
      <c r="I74" s="187">
        <f>Rawdata!M88</f>
        <v>4266</v>
      </c>
      <c r="J74" s="187">
        <f>Rawdata!O88</f>
        <v>13256</v>
      </c>
      <c r="K74" s="187">
        <f>Rawdata!P88</f>
        <v>16529</v>
      </c>
      <c r="L74" s="188">
        <f>Rawdata!U88</f>
        <v>0.26</v>
      </c>
      <c r="M74" s="188">
        <f>Rawdata!V88</f>
        <v>0.27</v>
      </c>
      <c r="N74" s="188">
        <f>Rawdata!R88</f>
        <v>0.17</v>
      </c>
      <c r="O74" s="188">
        <f>Rawdata!S88</f>
        <v>0.17</v>
      </c>
    </row>
    <row r="75" spans="1:15" x14ac:dyDescent="0.2">
      <c r="A75" t="str">
        <f>Rawdata!C89</f>
        <v>CTR</v>
      </c>
      <c r="B75" t="str">
        <f>Rawdata!D89</f>
        <v>HOLD</v>
      </c>
      <c r="C75" s="187">
        <f>Rawdata!E89</f>
        <v>111000</v>
      </c>
      <c r="D75" s="187">
        <f>Rawdata!F89</f>
        <v>13957</v>
      </c>
      <c r="E75" s="187">
        <f>Rawdata!G89</f>
        <v>15684</v>
      </c>
      <c r="F75" s="187">
        <f>Rawdata!I89</f>
        <v>566</v>
      </c>
      <c r="G75" s="187">
        <f>Rawdata!J89</f>
        <v>762</v>
      </c>
      <c r="H75" s="187">
        <f>Rawdata!L89</f>
        <v>4948</v>
      </c>
      <c r="I75" s="187">
        <f>Rawdata!M89</f>
        <v>6659</v>
      </c>
      <c r="J75" s="187">
        <f>Rawdata!O89</f>
        <v>27219</v>
      </c>
      <c r="K75" s="187">
        <f>Rawdata!P89</f>
        <v>33878</v>
      </c>
      <c r="L75" s="188">
        <f>Rawdata!U89</f>
        <v>0.18</v>
      </c>
      <c r="M75" s="188">
        <f>Rawdata!V89</f>
        <v>0.2</v>
      </c>
      <c r="N75" s="188">
        <f>Rawdata!R89</f>
        <v>0.06</v>
      </c>
      <c r="O75" s="188">
        <f>Rawdata!S89</f>
        <v>0.08</v>
      </c>
    </row>
    <row r="76" spans="1:15" x14ac:dyDescent="0.2">
      <c r="A76" t="str">
        <f>Rawdata!C90</f>
        <v>ELC</v>
      </c>
      <c r="B76" t="str">
        <f>Rawdata!D90</f>
        <v>BUY</v>
      </c>
      <c r="C76" s="187">
        <f>Rawdata!E90</f>
        <v>28000</v>
      </c>
      <c r="D76" s="187">
        <f>Rawdata!F90</f>
        <v>1658</v>
      </c>
      <c r="E76" s="187">
        <f>Rawdata!G90</f>
        <v>1744</v>
      </c>
      <c r="F76" s="187">
        <f>Rawdata!I90</f>
        <v>143</v>
      </c>
      <c r="G76" s="187">
        <f>Rawdata!J90</f>
        <v>164</v>
      </c>
      <c r="H76" s="187">
        <f>Rawdata!L90</f>
        <v>1740</v>
      </c>
      <c r="I76" s="187">
        <f>Rawdata!M90</f>
        <v>1999</v>
      </c>
      <c r="J76" s="187">
        <f>Rawdata!O90</f>
        <v>17364</v>
      </c>
      <c r="K76" s="187">
        <f>Rawdata!P90</f>
        <v>19545</v>
      </c>
      <c r="L76" s="188">
        <f>Rawdata!U90</f>
        <v>0.1</v>
      </c>
      <c r="M76" s="188">
        <f>Rawdata!V90</f>
        <v>0.1</v>
      </c>
      <c r="N76" s="188">
        <f>Rawdata!R90</f>
        <v>0.06</v>
      </c>
      <c r="O76" s="188">
        <f>Rawdata!S90</f>
        <v>0.06</v>
      </c>
    </row>
    <row r="77" spans="1:15" x14ac:dyDescent="0.2">
      <c r="A77" t="str">
        <f>Rawdata!C91</f>
        <v>FPT</v>
      </c>
      <c r="B77" t="str">
        <f>Rawdata!D91</f>
        <v>HOLD</v>
      </c>
      <c r="C77" s="187">
        <f>Rawdata!E91</f>
        <v>118700</v>
      </c>
      <c r="D77" s="187">
        <f>Rawdata!F91</f>
        <v>73267</v>
      </c>
      <c r="E77" s="187">
        <f>Rawdata!G91</f>
        <v>86654</v>
      </c>
      <c r="F77" s="187">
        <f>Rawdata!I91</f>
        <v>9332</v>
      </c>
      <c r="G77" s="187">
        <f>Rawdata!J91</f>
        <v>11219</v>
      </c>
      <c r="H77" s="187">
        <f>Rawdata!L91</f>
        <v>5042</v>
      </c>
      <c r="I77" s="187">
        <f>Rawdata!M91</f>
        <v>6061</v>
      </c>
      <c r="J77" s="187">
        <f>Rawdata!O91</f>
        <v>21041</v>
      </c>
      <c r="K77" s="187">
        <f>Rawdata!P91</f>
        <v>25579</v>
      </c>
      <c r="L77" s="188">
        <f>Rawdata!U91</f>
        <v>0.21</v>
      </c>
      <c r="M77" s="188">
        <f>Rawdata!V91</f>
        <v>0.21</v>
      </c>
      <c r="N77" s="188">
        <f>Rawdata!R91</f>
        <v>0.12</v>
      </c>
      <c r="O77" s="188">
        <f>Rawdata!S91</f>
        <v>0.12</v>
      </c>
    </row>
    <row r="78" spans="1:15" x14ac:dyDescent="0.2">
      <c r="A78" t="str">
        <f>Rawdata!C92</f>
        <v>MSH</v>
      </c>
      <c r="B78" t="str">
        <f>Rawdata!D92</f>
        <v>HOLD</v>
      </c>
      <c r="C78" s="187">
        <f>Rawdata!E92</f>
        <v>50600</v>
      </c>
      <c r="D78" s="187">
        <f>Rawdata!F92</f>
        <v>5838</v>
      </c>
      <c r="E78" s="187">
        <f>Rawdata!G92</f>
        <v>6340</v>
      </c>
      <c r="F78" s="187">
        <f>Rawdata!I92</f>
        <v>440</v>
      </c>
      <c r="G78" s="187">
        <f>Rawdata!J92</f>
        <v>501</v>
      </c>
      <c r="H78" s="187">
        <f>Rawdata!L92</f>
        <v>5861</v>
      </c>
      <c r="I78" s="187">
        <f>Rawdata!M92</f>
        <v>6684</v>
      </c>
      <c r="J78" s="187">
        <f>Rawdata!O92</f>
        <v>29592</v>
      </c>
      <c r="K78" s="187">
        <f>Rawdata!P92</f>
        <v>32565</v>
      </c>
      <c r="L78" s="188">
        <f>Rawdata!U92</f>
        <v>0.2</v>
      </c>
      <c r="M78" s="188">
        <f>Rawdata!V92</f>
        <v>0.19</v>
      </c>
      <c r="N78" s="188">
        <f>Rawdata!R92</f>
        <v>0.11</v>
      </c>
      <c r="O78" s="188">
        <f>Rawdata!S92</f>
        <v>0.11</v>
      </c>
    </row>
    <row r="79" spans="1:15" x14ac:dyDescent="0.2">
      <c r="A79" t="str">
        <f>Rawdata!C93</f>
        <v>TNG</v>
      </c>
      <c r="B79" t="str">
        <f>Rawdata!D93</f>
        <v>HOLD</v>
      </c>
      <c r="C79" s="187">
        <f>Rawdata!E93</f>
        <v>23900</v>
      </c>
      <c r="D79" s="187">
        <f>Rawdata!F93</f>
        <v>8350</v>
      </c>
      <c r="E79" s="187">
        <f>Rawdata!G93</f>
        <v>9177</v>
      </c>
      <c r="F79" s="187">
        <f>Rawdata!I93</f>
        <v>342</v>
      </c>
      <c r="G79" s="187">
        <f>Rawdata!J93</f>
        <v>378</v>
      </c>
      <c r="H79" s="187">
        <f>Rawdata!L93</f>
        <v>2812</v>
      </c>
      <c r="I79" s="187">
        <f>Rawdata!M93</f>
        <v>3104</v>
      </c>
      <c r="J79" s="187">
        <f>Rawdata!O93</f>
        <v>17259</v>
      </c>
      <c r="K79" s="187">
        <f>Rawdata!P93</f>
        <v>19132</v>
      </c>
      <c r="L79" s="188">
        <f>Rawdata!U93</f>
        <v>0.17455746496906291</v>
      </c>
      <c r="M79" s="188">
        <f>Rawdata!V93</f>
        <v>0.15</v>
      </c>
      <c r="N79" s="188">
        <f>Rawdata!R93</f>
        <v>0.05</v>
      </c>
      <c r="O79" s="188">
        <f>Rawdata!S93</f>
        <v>0.05</v>
      </c>
    </row>
    <row r="80" spans="1:15" x14ac:dyDescent="0.2">
      <c r="A80" t="str">
        <f>Rawdata!C94</f>
        <v>VHC</v>
      </c>
      <c r="B80" t="str">
        <f>Rawdata!D94</f>
        <v>HOLD</v>
      </c>
      <c r="C80" s="187">
        <f>Rawdata!E94</f>
        <v>60000</v>
      </c>
      <c r="D80" s="187">
        <f>Rawdata!F94</f>
        <v>12518</v>
      </c>
      <c r="E80" s="187">
        <f>Rawdata!G94</f>
        <v>14226</v>
      </c>
      <c r="F80" s="187">
        <f>Rawdata!I94</f>
        <v>1250</v>
      </c>
      <c r="G80" s="187">
        <f>Rawdata!J94</f>
        <v>1477</v>
      </c>
      <c r="H80" s="187">
        <f>Rawdata!L94</f>
        <v>5682</v>
      </c>
      <c r="I80" s="187">
        <f>Rawdata!M94</f>
        <v>6713</v>
      </c>
      <c r="J80" s="187">
        <f>Rawdata!O94</f>
        <v>48739</v>
      </c>
      <c r="K80" s="187">
        <f>Rawdata!P94</f>
        <v>54571</v>
      </c>
      <c r="L80" s="188">
        <f>Rawdata!U94</f>
        <v>0.12</v>
      </c>
      <c r="M80" s="188">
        <f>Rawdata!V94</f>
        <v>0.12</v>
      </c>
      <c r="N80" s="188">
        <f>Rawdata!R94</f>
        <v>0.08</v>
      </c>
      <c r="O80" s="188">
        <f>Rawdata!S94</f>
        <v>0.09</v>
      </c>
    </row>
    <row r="81" spans="1:15" x14ac:dyDescent="0.2">
      <c r="A81" t="str">
        <f>Rawdata!C95</f>
        <v>HVN</v>
      </c>
      <c r="B81" t="str">
        <f>Rawdata!D95</f>
        <v>BUY</v>
      </c>
      <c r="C81" s="187">
        <f>Rawdata!E95</f>
        <v>39000</v>
      </c>
      <c r="D81" s="187">
        <f>Rawdata!F95</f>
        <v>118364</v>
      </c>
      <c r="E81" s="187">
        <f>Rawdata!G95</f>
        <v>130924</v>
      </c>
      <c r="F81" s="187">
        <f>Rawdata!I95</f>
        <v>8956</v>
      </c>
      <c r="G81" s="187">
        <f>Rawdata!J95</f>
        <v>9505</v>
      </c>
      <c r="H81" s="187">
        <f>Rawdata!L95</f>
        <v>2873</v>
      </c>
      <c r="I81" s="187">
        <f>Rawdata!M95</f>
        <v>3236</v>
      </c>
      <c r="J81" s="187">
        <f>Rawdata!O95</f>
        <v>1230</v>
      </c>
      <c r="K81" s="187">
        <f>Rawdata!P95</f>
        <v>3179</v>
      </c>
      <c r="L81" s="188" t="str">
        <f>Rawdata!U95</f>
        <v>n/a</v>
      </c>
      <c r="M81" s="188" t="str">
        <f>Rawdata!V95</f>
        <v>n/a</v>
      </c>
      <c r="N81" s="188">
        <f>Rawdata!R95</f>
        <v>0.12</v>
      </c>
      <c r="O81" s="188">
        <f>Rawdata!S95</f>
        <v>0.12</v>
      </c>
    </row>
    <row r="82" spans="1:15" x14ac:dyDescent="0.2">
      <c r="A82" t="str">
        <f>Rawdata!C96</f>
        <v>PTB</v>
      </c>
      <c r="B82" t="str">
        <f>Rawdata!D96</f>
        <v>BUY</v>
      </c>
      <c r="C82" s="187">
        <f>Rawdata!E96</f>
        <v>62706</v>
      </c>
      <c r="D82" s="187">
        <f>Rawdata!F96</f>
        <v>7123</v>
      </c>
      <c r="E82" s="187">
        <f>Rawdata!G96</f>
        <v>7767</v>
      </c>
      <c r="F82" s="187">
        <f>Rawdata!I96</f>
        <v>524</v>
      </c>
      <c r="G82" s="187">
        <f>Rawdata!J96</f>
        <v>583</v>
      </c>
      <c r="H82" s="187">
        <f>Rawdata!L96</f>
        <v>7838</v>
      </c>
      <c r="I82" s="187">
        <f>Rawdata!M96</f>
        <v>8712</v>
      </c>
      <c r="J82" s="187">
        <f>Rawdata!O96</f>
        <v>55667</v>
      </c>
      <c r="K82" s="187">
        <f>Rawdata!P96</f>
        <v>64433</v>
      </c>
      <c r="L82" s="188">
        <f>Rawdata!U96</f>
        <v>0.14000000000000001</v>
      </c>
      <c r="M82" s="188">
        <f>Rawdata!V96</f>
        <v>0.14000000000000001</v>
      </c>
      <c r="N82" s="188">
        <f>Rawdata!R96</f>
        <v>8.1215969119865866E-2</v>
      </c>
      <c r="O82" s="188">
        <f>Rawdata!S96</f>
        <v>0.08</v>
      </c>
    </row>
    <row r="83" spans="1:15" x14ac:dyDescent="0.2">
      <c r="A83" t="str">
        <f>Rawdata!C97</f>
        <v>PVT</v>
      </c>
      <c r="B83" t="str">
        <f>Rawdata!D97</f>
        <v>HOLD</v>
      </c>
      <c r="C83" s="187">
        <f>Rawdata!E97</f>
        <v>19100</v>
      </c>
      <c r="D83" s="187">
        <f>Rawdata!F97</f>
        <v>13352</v>
      </c>
      <c r="E83" s="187">
        <f>Rawdata!G97</f>
        <v>13545</v>
      </c>
      <c r="F83" s="187">
        <f>Rawdata!I97</f>
        <v>1071</v>
      </c>
      <c r="G83" s="187">
        <f>Rawdata!J97</f>
        <v>1121</v>
      </c>
      <c r="H83" s="187">
        <f>Rawdata!L97</f>
        <v>2119</v>
      </c>
      <c r="I83" s="187">
        <f>Rawdata!M97</f>
        <v>2207</v>
      </c>
      <c r="J83" s="187">
        <f>Rawdata!O97</f>
        <v>25830</v>
      </c>
      <c r="K83" s="187">
        <f>Rawdata!P97</f>
        <v>28653</v>
      </c>
      <c r="L83" s="188">
        <f>Rawdata!U97</f>
        <v>0.11600000000000001</v>
      </c>
      <c r="M83" s="188">
        <f>Rawdata!V97</f>
        <v>0.105</v>
      </c>
      <c r="N83" s="188">
        <f>Rawdata!R97</f>
        <v>5.8999999999999997E-2</v>
      </c>
      <c r="O83" s="188">
        <f>Rawdata!S97</f>
        <v>5.7000000000000002E-2</v>
      </c>
    </row>
    <row r="84" spans="1:15" x14ac:dyDescent="0.2">
      <c r="A84" t="str">
        <f>Rawdata!C98</f>
        <v>GMD</v>
      </c>
      <c r="B84" t="str">
        <f>Rawdata!D98</f>
        <v>BUY</v>
      </c>
      <c r="C84" s="187">
        <f>Rawdata!E98</f>
        <v>74900</v>
      </c>
      <c r="D84" s="187">
        <f>Rawdata!F98</f>
        <v>5166</v>
      </c>
      <c r="E84" s="187">
        <f>Rawdata!G98</f>
        <v>5636</v>
      </c>
      <c r="F84" s="187">
        <f>Rawdata!I98</f>
        <v>1452</v>
      </c>
      <c r="G84" s="187">
        <f>Rawdata!J98</f>
        <v>1545</v>
      </c>
      <c r="H84" s="187">
        <f>Rawdata!L98</f>
        <v>3458</v>
      </c>
      <c r="I84" s="187">
        <f>Rawdata!M98</f>
        <v>3678</v>
      </c>
      <c r="J84" s="187">
        <f>Rawdata!O98</f>
        <v>34618</v>
      </c>
      <c r="K84" s="187">
        <f>Rawdata!P98</f>
        <v>36923</v>
      </c>
      <c r="L84" s="188">
        <f>Rawdata!U98</f>
        <v>0.13</v>
      </c>
      <c r="M84" s="188">
        <f>Rawdata!V98</f>
        <v>0.13</v>
      </c>
      <c r="N84" s="188">
        <f>Rawdata!R98</f>
        <v>0.09</v>
      </c>
      <c r="O84" s="188">
        <f>Rawdata!S98</f>
        <v>0.1</v>
      </c>
    </row>
    <row r="85" spans="1:15" x14ac:dyDescent="0.2">
      <c r="A85" t="str">
        <f>Rawdata!C99</f>
        <v>HT1</v>
      </c>
      <c r="B85" t="str">
        <f>Rawdata!D99</f>
        <v>BUY</v>
      </c>
      <c r="C85" s="187">
        <f>Rawdata!E99</f>
        <v>14300</v>
      </c>
      <c r="D85" s="187">
        <f>Rawdata!F99</f>
        <v>7189</v>
      </c>
      <c r="E85" s="187">
        <f>Rawdata!G99</f>
        <v>7631</v>
      </c>
      <c r="F85" s="187">
        <f>Rawdata!I99</f>
        <v>216</v>
      </c>
      <c r="G85" s="187">
        <f>Rawdata!J99</f>
        <v>306</v>
      </c>
      <c r="H85" s="187">
        <f>Rawdata!L99</f>
        <v>747</v>
      </c>
      <c r="I85" s="187">
        <f>Rawdata!M99</f>
        <v>1072</v>
      </c>
      <c r="J85" s="187">
        <f>Rawdata!O99</f>
        <v>13404</v>
      </c>
      <c r="K85" s="187">
        <f>Rawdata!P99</f>
        <v>13970</v>
      </c>
      <c r="L85" s="188">
        <f>Rawdata!U99</f>
        <v>0.04</v>
      </c>
      <c r="M85" s="188">
        <f>Rawdata!V99</f>
        <v>0.06</v>
      </c>
      <c r="N85" s="188">
        <f>Rawdata!R99</f>
        <v>0.02</v>
      </c>
      <c r="O85" s="188">
        <f>Rawdata!S99</f>
        <v>0.03</v>
      </c>
    </row>
    <row r="86" spans="1:15" x14ac:dyDescent="0.2">
      <c r="A86" t="str">
        <f>Rawdata!C100</f>
        <v>LCG</v>
      </c>
      <c r="B86" t="str">
        <f>Rawdata!D100</f>
        <v>BUY</v>
      </c>
      <c r="C86" s="187">
        <f>Rawdata!E100</f>
        <v>11500</v>
      </c>
      <c r="D86" s="187">
        <f>Rawdata!F100</f>
        <v>3219</v>
      </c>
      <c r="E86" s="187">
        <f>Rawdata!G100</f>
        <v>2292</v>
      </c>
      <c r="F86" s="187">
        <f>Rawdata!I100</f>
        <v>153</v>
      </c>
      <c r="G86" s="187">
        <f>Rawdata!J100</f>
        <v>62</v>
      </c>
      <c r="H86" s="187">
        <f>Rawdata!L100</f>
        <v>773</v>
      </c>
      <c r="I86" s="187">
        <f>Rawdata!M100</f>
        <v>321</v>
      </c>
      <c r="J86" s="187">
        <f>Rawdata!O100</f>
        <v>13672</v>
      </c>
      <c r="K86" s="187">
        <f>Rawdata!P100</f>
        <v>13734</v>
      </c>
      <c r="L86" s="188">
        <f>Rawdata!U100</f>
        <v>0.06</v>
      </c>
      <c r="M86" s="188">
        <f>Rawdata!V100</f>
        <v>0.02</v>
      </c>
      <c r="N86" s="188">
        <f>Rawdata!R100</f>
        <v>0.03</v>
      </c>
      <c r="O86" s="188">
        <f>Rawdata!S100</f>
        <v>0.02</v>
      </c>
    </row>
    <row r="87" spans="1:15" x14ac:dyDescent="0.2">
      <c r="A87" t="str">
        <f>Rawdata!C101</f>
        <v>C4G</v>
      </c>
      <c r="B87" t="str">
        <f>Rawdata!D101</f>
        <v>HOLD</v>
      </c>
      <c r="C87" s="187">
        <f>Rawdata!E101</f>
        <v>9600</v>
      </c>
      <c r="D87" s="187">
        <f>Rawdata!F101</f>
        <v>3288</v>
      </c>
      <c r="E87" s="187">
        <f>Rawdata!G101</f>
        <v>3376</v>
      </c>
      <c r="F87" s="187">
        <f>Rawdata!I101</f>
        <v>203</v>
      </c>
      <c r="G87" s="187">
        <f>Rawdata!J101</f>
        <v>209</v>
      </c>
      <c r="H87" s="187">
        <f>Rawdata!L101</f>
        <v>567</v>
      </c>
      <c r="I87" s="187">
        <f>Rawdata!M101</f>
        <v>585</v>
      </c>
      <c r="J87" s="187">
        <f>Rawdata!O101</f>
        <v>11543</v>
      </c>
      <c r="K87" s="187">
        <f>Rawdata!P101</f>
        <v>12126</v>
      </c>
      <c r="L87" s="188">
        <f>Rawdata!U101</f>
        <v>0.05</v>
      </c>
      <c r="M87" s="188">
        <f>Rawdata!V101</f>
        <v>4.9000000000000002E-2</v>
      </c>
      <c r="N87" s="188">
        <f>Rawdata!R101</f>
        <v>2.1000000000000001E-2</v>
      </c>
      <c r="O87" s="188">
        <f>Rawdata!S101</f>
        <v>2.1000000000000001E-2</v>
      </c>
    </row>
    <row r="88" spans="1:15" x14ac:dyDescent="0.2">
      <c r="A88" t="str">
        <f>Rawdata!C102</f>
        <v>HHV</v>
      </c>
      <c r="B88" t="str">
        <f>Rawdata!D102</f>
        <v>BUY</v>
      </c>
      <c r="C88" s="187">
        <f>Rawdata!E102</f>
        <v>15600</v>
      </c>
      <c r="D88" s="187">
        <f>Rawdata!F102</f>
        <v>3494.3677159999997</v>
      </c>
      <c r="E88" s="187">
        <f>Rawdata!G102</f>
        <v>3536.5316920400001</v>
      </c>
      <c r="F88" s="187">
        <f>Rawdata!I102</f>
        <v>497.6223058279445</v>
      </c>
      <c r="G88" s="187">
        <f>Rawdata!J102</f>
        <v>675.30407130746573</v>
      </c>
      <c r="H88" s="187">
        <f>Rawdata!L102</f>
        <v>1151.2225375818548</v>
      </c>
      <c r="I88" s="187">
        <f>Rawdata!M102</f>
        <v>1562.2797802772477</v>
      </c>
      <c r="J88" s="187">
        <f>Rawdata!O102</f>
        <v>22518.842454042027</v>
      </c>
      <c r="K88" s="187">
        <f>Rawdata!P102</f>
        <v>24286.441771924354</v>
      </c>
      <c r="L88" s="188">
        <f>Rawdata!U102</f>
        <v>5.1122633853465042E-2</v>
      </c>
      <c r="M88" s="188">
        <f>Rawdata!V102</f>
        <v>6.4327240480459194E-2</v>
      </c>
      <c r="N88" s="188">
        <f>Rawdata!R102</f>
        <v>1.2850105273656324E-2</v>
      </c>
      <c r="O88" s="188">
        <f>Rawdata!S102</f>
        <v>1.7356808169752609E-2</v>
      </c>
    </row>
    <row r="89" spans="1:15" x14ac:dyDescent="0.2">
      <c r="A89" t="str">
        <f>Rawdata!C103</f>
        <v>VCG</v>
      </c>
      <c r="B89" t="str">
        <f>Rawdata!D103</f>
        <v>BUY</v>
      </c>
      <c r="C89" s="187">
        <f>Rawdata!E103</f>
        <v>26100</v>
      </c>
      <c r="D89" s="187">
        <f>Rawdata!F103</f>
        <v>14635</v>
      </c>
      <c r="E89" s="187">
        <f>Rawdata!G103</f>
        <v>17020</v>
      </c>
      <c r="F89" s="187">
        <f>Rawdata!I103</f>
        <v>885</v>
      </c>
      <c r="G89" s="187">
        <f>Rawdata!J103</f>
        <v>1218</v>
      </c>
      <c r="H89" s="187">
        <f>Rawdata!L103</f>
        <v>1478</v>
      </c>
      <c r="I89" s="187">
        <f>Rawdata!M103</f>
        <v>2035</v>
      </c>
      <c r="J89" s="187">
        <f>Rawdata!O103</f>
        <v>20023</v>
      </c>
      <c r="K89" s="187">
        <f>Rawdata!P103</f>
        <v>22022</v>
      </c>
      <c r="L89" s="188">
        <f>Rawdata!U103</f>
        <v>7.0000000000000007E-2</v>
      </c>
      <c r="M89" s="188">
        <f>Rawdata!V103</f>
        <v>0.09</v>
      </c>
      <c r="N89" s="188">
        <f>Rawdata!R103</f>
        <v>0.03</v>
      </c>
      <c r="O89" s="188">
        <f>Rawdata!S103</f>
        <v>0.04</v>
      </c>
    </row>
    <row r="90" spans="1:15" x14ac:dyDescent="0.2">
      <c r="A90" t="str">
        <f>Rawdata!C104</f>
        <v>TCH</v>
      </c>
      <c r="B90" t="str">
        <f>Rawdata!D104</f>
        <v>NA</v>
      </c>
      <c r="C90" s="187">
        <f>Rawdata!E104</f>
        <v>22400</v>
      </c>
      <c r="D90" s="187">
        <f>Rawdata!F104</f>
        <v>3963</v>
      </c>
      <c r="E90" s="187">
        <f>Rawdata!G104</f>
        <v>6617</v>
      </c>
      <c r="F90" s="187">
        <f>Rawdata!I104</f>
        <v>997</v>
      </c>
      <c r="G90" s="187">
        <f>Rawdata!J104</f>
        <v>2358</v>
      </c>
      <c r="H90" s="187">
        <f>Rawdata!L104</f>
        <v>1492</v>
      </c>
      <c r="I90" s="187">
        <f>Rawdata!M104</f>
        <v>3528</v>
      </c>
      <c r="J90" s="187">
        <f>Rawdata!O104</f>
        <v>15564</v>
      </c>
      <c r="K90" s="187">
        <f>Rawdata!P104</f>
        <v>18392</v>
      </c>
      <c r="L90" s="188">
        <f>Rawdata!U104</f>
        <v>8.2000000000000003E-2</v>
      </c>
      <c r="M90" s="188">
        <f>Rawdata!V104</f>
        <v>0.14499999999999999</v>
      </c>
      <c r="N90" s="188">
        <f>Rawdata!R104</f>
        <v>6.6000000000000003E-2</v>
      </c>
      <c r="O90" s="188">
        <f>Rawdata!S104</f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146C-542B-FC48-9207-059FC9AB71FE}">
  <sheetPr codeName="Sheet2"/>
  <dimension ref="A1:AN112"/>
  <sheetViews>
    <sheetView workbookViewId="0">
      <selection activeCell="D6" sqref="D6"/>
    </sheetView>
  </sheetViews>
  <sheetFormatPr baseColWidth="10" defaultColWidth="9.33203125" defaultRowHeight="14" x14ac:dyDescent="0.2"/>
  <cols>
    <col min="1" max="1" width="1.6640625" style="31" customWidth="1"/>
    <col min="2" max="2" width="18.33203125" style="31" customWidth="1"/>
    <col min="3" max="3" width="12.33203125" style="31" bestFit="1" customWidth="1"/>
    <col min="4" max="4" width="10.33203125" style="31" bestFit="1" customWidth="1"/>
    <col min="5" max="5" width="14.33203125" style="31" bestFit="1" customWidth="1"/>
    <col min="6" max="6" width="11" style="31" bestFit="1" customWidth="1"/>
    <col min="7" max="8" width="12.33203125" style="31" bestFit="1" customWidth="1"/>
    <col min="9" max="9" width="15.33203125" style="31" customWidth="1"/>
    <col min="10" max="10" width="17" style="31" bestFit="1" customWidth="1"/>
    <col min="11" max="11" width="17.33203125" style="31" bestFit="1" customWidth="1"/>
    <col min="12" max="12" width="10.33203125" style="31" bestFit="1" customWidth="1"/>
    <col min="13" max="14" width="12.33203125" style="31" bestFit="1" customWidth="1"/>
    <col min="15" max="15" width="12" style="31" customWidth="1"/>
    <col min="16" max="16" width="14" style="31" bestFit="1" customWidth="1"/>
    <col min="17" max="17" width="14.33203125" style="31" bestFit="1" customWidth="1"/>
    <col min="18" max="18" width="10.33203125" style="31" bestFit="1" customWidth="1"/>
    <col min="19" max="19" width="12.33203125" style="31" bestFit="1" customWidth="1"/>
    <col min="20" max="20" width="13.33203125" style="31" bestFit="1" customWidth="1"/>
    <col min="21" max="21" width="10.33203125" style="31" bestFit="1" customWidth="1"/>
    <col min="22" max="22" width="12.33203125" style="31" bestFit="1" customWidth="1"/>
    <col min="23" max="23" width="13" style="31" bestFit="1" customWidth="1"/>
    <col min="24" max="24" width="15.33203125" style="183" bestFit="1" customWidth="1"/>
    <col min="25" max="25" width="14.33203125" style="183" bestFit="1" customWidth="1"/>
    <col min="26" max="27" width="16.33203125" style="183" bestFit="1" customWidth="1"/>
    <col min="28" max="28" width="13.33203125" style="183" bestFit="1" customWidth="1"/>
    <col min="29" max="29" width="15.33203125" style="183" bestFit="1" customWidth="1"/>
    <col min="30" max="30" width="16.33203125" style="183" bestFit="1" customWidth="1"/>
    <col min="31" max="31" width="10.33203125" style="31" customWidth="1"/>
    <col min="32" max="32" width="8.33203125" style="31" bestFit="1" customWidth="1"/>
    <col min="33" max="33" width="0" style="1" hidden="1" customWidth="1"/>
    <col min="34" max="34" width="6.33203125" style="1" hidden="1" customWidth="1"/>
    <col min="35" max="35" width="10.33203125" style="7" hidden="1" customWidth="1"/>
    <col min="36" max="36" width="14.33203125" style="7" hidden="1" customWidth="1"/>
    <col min="37" max="37" width="10.33203125" style="7" hidden="1" customWidth="1"/>
    <col min="38" max="38" width="12" style="7" hidden="1" customWidth="1"/>
    <col min="39" max="40" width="10.33203125" style="8" hidden="1" customWidth="1"/>
    <col min="41" max="41" width="0" style="1" hidden="1" customWidth="1"/>
    <col min="42" max="16384" width="9.33203125" style="1"/>
  </cols>
  <sheetData>
    <row r="1" spans="1:40" ht="19" x14ac:dyDescent="0.25">
      <c r="A1" s="1"/>
      <c r="B1" s="2" t="s">
        <v>0</v>
      </c>
      <c r="C1" s="1"/>
      <c r="D1" s="1"/>
      <c r="E1" s="1"/>
      <c r="F1" s="1"/>
      <c r="G1" s="1"/>
      <c r="H1" s="1"/>
      <c r="I1" s="3" t="s">
        <v>1</v>
      </c>
      <c r="J1" s="1"/>
      <c r="K1" s="1"/>
      <c r="L1" s="1"/>
      <c r="M1" s="1"/>
      <c r="N1" s="1"/>
      <c r="O1" s="1"/>
      <c r="P1" s="4" t="s">
        <v>2</v>
      </c>
      <c r="Q1" s="5" t="s">
        <v>3</v>
      </c>
      <c r="R1" s="1"/>
      <c r="S1" s="1"/>
      <c r="T1" s="1"/>
      <c r="U1" s="1"/>
      <c r="V1" s="1"/>
      <c r="W1" s="1"/>
      <c r="X1" s="6"/>
      <c r="Y1" s="6"/>
      <c r="Z1" s="6"/>
      <c r="AA1" s="6"/>
      <c r="AB1" s="6"/>
      <c r="AC1" s="6"/>
      <c r="AD1" s="6"/>
      <c r="AE1" s="1"/>
      <c r="AF1" s="1"/>
    </row>
    <row r="2" spans="1:40" x14ac:dyDescent="0.2">
      <c r="A2" s="1"/>
      <c r="B2" s="9">
        <v>2025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6"/>
      <c r="Y2" s="6"/>
      <c r="Z2" s="6"/>
      <c r="AA2" s="6"/>
      <c r="AB2" s="6"/>
      <c r="AC2" s="6"/>
      <c r="AD2" s="6"/>
      <c r="AE2" s="1"/>
      <c r="AF2" s="1"/>
    </row>
    <row r="3" spans="1:40" x14ac:dyDescent="0.2">
      <c r="A3" s="1"/>
      <c r="B3" s="9" t="s">
        <v>4</v>
      </c>
      <c r="C3" s="10" cm="1">
        <f t="array" ref="C3">[1]!latest_updatedate[Update time]</f>
        <v>45881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  <c r="Y3" s="6"/>
      <c r="Z3" s="6"/>
      <c r="AA3" s="6"/>
      <c r="AB3" s="6"/>
      <c r="AC3" s="6"/>
      <c r="AD3" s="6"/>
      <c r="AE3" s="1"/>
      <c r="AF3" s="1"/>
    </row>
    <row r="4" spans="1:40" x14ac:dyDescent="0.2">
      <c r="A4" s="1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  <c r="Y4" s="6"/>
      <c r="Z4" s="6"/>
      <c r="AA4" s="6"/>
      <c r="AB4" s="6"/>
      <c r="AC4" s="6"/>
      <c r="AD4" s="6"/>
      <c r="AE4" s="1"/>
      <c r="AF4" s="1"/>
    </row>
    <row r="5" spans="1:40" x14ac:dyDescent="0.2">
      <c r="A5" s="1"/>
      <c r="B5" s="11"/>
      <c r="C5" s="11"/>
      <c r="D5" s="12"/>
      <c r="E5" s="12"/>
      <c r="F5" s="13" t="s">
        <v>5</v>
      </c>
      <c r="G5" s="14"/>
      <c r="H5" s="15"/>
      <c r="I5" s="13" t="s">
        <v>6</v>
      </c>
      <c r="J5" s="14"/>
      <c r="K5" s="15"/>
      <c r="L5" s="13" t="s">
        <v>7</v>
      </c>
      <c r="M5" s="14"/>
      <c r="N5" s="15"/>
      <c r="O5" s="13" t="s">
        <v>8</v>
      </c>
      <c r="P5" s="14"/>
      <c r="Q5" s="15"/>
      <c r="R5" s="13" t="s">
        <v>9</v>
      </c>
      <c r="S5" s="14"/>
      <c r="T5" s="15"/>
      <c r="U5" s="13" t="s">
        <v>10</v>
      </c>
      <c r="V5" s="15"/>
      <c r="W5" s="15"/>
      <c r="X5" s="16">
        <f>V5</f>
        <v>0</v>
      </c>
      <c r="Y5" s="13" t="s">
        <v>11</v>
      </c>
      <c r="Z5" s="14"/>
      <c r="AA5" s="15"/>
      <c r="AB5" s="13" t="s">
        <v>12</v>
      </c>
      <c r="AC5" s="15"/>
      <c r="AD5" s="15"/>
      <c r="AE5" s="16">
        <f t="shared" ref="AE5" si="0">X5</f>
        <v>0</v>
      </c>
      <c r="AF5" s="17">
        <f>AE5</f>
        <v>0</v>
      </c>
    </row>
    <row r="6" spans="1:40" x14ac:dyDescent="0.2">
      <c r="A6" s="1"/>
      <c r="B6" s="18" t="s">
        <v>13</v>
      </c>
      <c r="C6" s="11" t="s">
        <v>14</v>
      </c>
      <c r="D6" s="19" t="s">
        <v>15</v>
      </c>
      <c r="E6" s="20" t="s">
        <v>16</v>
      </c>
      <c r="F6" s="21">
        <f>$B$2</f>
        <v>2025</v>
      </c>
      <c r="G6" s="21">
        <f>F6+1</f>
        <v>2026</v>
      </c>
      <c r="H6" s="22">
        <f>G6+1</f>
        <v>2027</v>
      </c>
      <c r="I6" s="21">
        <f>$B$2</f>
        <v>2025</v>
      </c>
      <c r="J6" s="21">
        <f>I6+1</f>
        <v>2026</v>
      </c>
      <c r="K6" s="22">
        <f>J6+1</f>
        <v>2027</v>
      </c>
      <c r="L6" s="21">
        <f>$B$2</f>
        <v>2025</v>
      </c>
      <c r="M6" s="21">
        <f>L6+1</f>
        <v>2026</v>
      </c>
      <c r="N6" s="22">
        <f>M6+1</f>
        <v>2027</v>
      </c>
      <c r="O6" s="21">
        <f>$B$2</f>
        <v>2025</v>
      </c>
      <c r="P6" s="21">
        <f>O6+1</f>
        <v>2026</v>
      </c>
      <c r="Q6" s="22">
        <f>P6+1</f>
        <v>2027</v>
      </c>
      <c r="R6" s="21">
        <f>$B$2</f>
        <v>2025</v>
      </c>
      <c r="S6" s="21">
        <f>R6+1</f>
        <v>2026</v>
      </c>
      <c r="T6" s="22">
        <f>S6+1</f>
        <v>2027</v>
      </c>
      <c r="U6" s="21">
        <f>$B$2</f>
        <v>2025</v>
      </c>
      <c r="V6" s="21">
        <f>U6+1</f>
        <v>2026</v>
      </c>
      <c r="W6" s="22">
        <f>V6+1</f>
        <v>2027</v>
      </c>
      <c r="X6" s="23" t="s">
        <v>17</v>
      </c>
      <c r="Y6" s="21">
        <f>$B$2</f>
        <v>2025</v>
      </c>
      <c r="Z6" s="21">
        <f>Y6+1</f>
        <v>2026</v>
      </c>
      <c r="AA6" s="22">
        <f>Z6+1</f>
        <v>2027</v>
      </c>
      <c r="AB6" s="21">
        <f>$B$2</f>
        <v>2025</v>
      </c>
      <c r="AC6" s="21">
        <f>AB6+1</f>
        <v>2026</v>
      </c>
      <c r="AD6" s="22">
        <f>AC6+1</f>
        <v>2027</v>
      </c>
      <c r="AE6" s="24" t="s">
        <v>18</v>
      </c>
      <c r="AF6" s="25" t="s">
        <v>19</v>
      </c>
      <c r="AI6" s="26">
        <v>2023</v>
      </c>
      <c r="AJ6" s="26">
        <v>2023</v>
      </c>
      <c r="AK6" s="26">
        <v>2023</v>
      </c>
      <c r="AL6" s="26">
        <v>2023</v>
      </c>
      <c r="AM6" s="26">
        <v>2023</v>
      </c>
      <c r="AN6" s="26">
        <v>2023</v>
      </c>
    </row>
    <row r="7" spans="1:40" x14ac:dyDescent="0.2">
      <c r="A7" s="1"/>
      <c r="B7" s="27" t="s">
        <v>13</v>
      </c>
      <c r="C7" s="27" t="s">
        <v>14</v>
      </c>
      <c r="D7" s="27" t="s">
        <v>15</v>
      </c>
      <c r="E7" s="27" t="s">
        <v>16</v>
      </c>
      <c r="F7" s="28" t="s">
        <v>20</v>
      </c>
      <c r="G7" s="28" t="s">
        <v>21</v>
      </c>
      <c r="H7" s="28" t="s">
        <v>22</v>
      </c>
      <c r="I7" s="28" t="s">
        <v>23</v>
      </c>
      <c r="J7" s="28" t="s">
        <v>24</v>
      </c>
      <c r="K7" s="28" t="s">
        <v>25</v>
      </c>
      <c r="L7" s="28" t="s">
        <v>26</v>
      </c>
      <c r="M7" s="28" t="s">
        <v>27</v>
      </c>
      <c r="N7" s="28" t="s">
        <v>28</v>
      </c>
      <c r="O7" s="28" t="s">
        <v>29</v>
      </c>
      <c r="P7" s="28" t="s">
        <v>30</v>
      </c>
      <c r="Q7" s="28" t="s">
        <v>31</v>
      </c>
      <c r="R7" s="29" t="s">
        <v>32</v>
      </c>
      <c r="S7" s="29" t="s">
        <v>33</v>
      </c>
      <c r="T7" s="29" t="s">
        <v>34</v>
      </c>
      <c r="U7" s="29" t="s">
        <v>35</v>
      </c>
      <c r="V7" s="29" t="s">
        <v>36</v>
      </c>
      <c r="W7" s="29" t="s">
        <v>37</v>
      </c>
      <c r="X7" s="29" t="s">
        <v>17</v>
      </c>
      <c r="Y7" s="29" t="s">
        <v>38</v>
      </c>
      <c r="Z7" s="29" t="s">
        <v>39</v>
      </c>
      <c r="AA7" s="29" t="s">
        <v>40</v>
      </c>
      <c r="AB7" s="29" t="s">
        <v>41</v>
      </c>
      <c r="AC7" s="29" t="s">
        <v>42</v>
      </c>
      <c r="AD7" s="29" t="s">
        <v>43</v>
      </c>
      <c r="AE7" s="27" t="s">
        <v>44</v>
      </c>
      <c r="AF7" s="30" t="s">
        <v>45</v>
      </c>
      <c r="AI7" s="30" t="s">
        <v>20</v>
      </c>
      <c r="AJ7" s="30" t="s">
        <v>23</v>
      </c>
      <c r="AK7" s="30" t="s">
        <v>26</v>
      </c>
      <c r="AL7" s="30" t="s">
        <v>29</v>
      </c>
      <c r="AM7" s="30" t="s">
        <v>32</v>
      </c>
      <c r="AN7" s="30" t="s">
        <v>35</v>
      </c>
    </row>
    <row r="8" spans="1:40" x14ac:dyDescent="0.2">
      <c r="B8" s="32" t="s">
        <v>46</v>
      </c>
      <c r="C8" s="33" t="s">
        <v>47</v>
      </c>
      <c r="D8" s="34" t="s">
        <v>48</v>
      </c>
      <c r="E8" s="35">
        <v>45000</v>
      </c>
      <c r="F8" s="35">
        <v>86855.1000744255</v>
      </c>
      <c r="G8" s="35">
        <v>100748.4301860783</v>
      </c>
      <c r="H8" s="35"/>
      <c r="I8" s="35">
        <v>26773.327429672256</v>
      </c>
      <c r="J8" s="35">
        <v>31143.589696173218</v>
      </c>
      <c r="K8" s="35"/>
      <c r="L8" s="35">
        <v>3760.9871351297952</v>
      </c>
      <c r="M8" s="35">
        <v>4202.5156144183293</v>
      </c>
      <c r="N8" s="35"/>
      <c r="O8" s="35">
        <v>26098.275881812111</v>
      </c>
      <c r="P8" s="35">
        <v>29272.437789332267</v>
      </c>
      <c r="Q8" s="35"/>
      <c r="R8" s="36">
        <v>8.9920401673562779E-3</v>
      </c>
      <c r="S8" s="36">
        <v>9.0446045331703338E-3</v>
      </c>
      <c r="T8" s="36"/>
      <c r="U8" s="36">
        <v>0.16452466027540713</v>
      </c>
      <c r="V8" s="36">
        <v>0.15466813061425069</v>
      </c>
      <c r="W8" s="36"/>
      <c r="X8" s="37" t="str">
        <f>IF(OR(COUNTBLANK(A_Entry_Forecast[[#This Row],[REV_FY]])&lt;&gt;0,COUNTBLANK(A_Entry_Forecast[[#This Row],[REV_FY+1]])&lt;&gt;0),"N","Y")</f>
        <v>Y</v>
      </c>
      <c r="Y8" s="38"/>
      <c r="Z8" s="38"/>
      <c r="AA8" s="38"/>
      <c r="AB8" s="38"/>
      <c r="AC8" s="38"/>
      <c r="AD8" s="38"/>
      <c r="AE8" s="39">
        <f>VLOOKUP(A_Entry_Forecast[[#This Row],[Ticker]],[1]!A_Entry_Data[#Data],2,FALSE)</f>
        <v>41500</v>
      </c>
      <c r="AF8" s="40">
        <f>IF(A_Entry_Forecast[[#This Row],[Target Price]]&lt;&gt;0,A_Entry_Forecast[[#This Row],[Target Price]]/AE8-1,"")</f>
        <v>8.43373493975903E-2</v>
      </c>
      <c r="AH8" s="1" t="s">
        <v>49</v>
      </c>
      <c r="AI8" s="7">
        <v>0</v>
      </c>
      <c r="AJ8" s="7">
        <v>16044.733</v>
      </c>
      <c r="AK8" s="7">
        <v>4092</v>
      </c>
      <c r="AL8" s="7">
        <v>18268.55</v>
      </c>
      <c r="AM8" s="8">
        <v>2.4199999999999999E-2</v>
      </c>
      <c r="AN8" s="8">
        <v>0.248</v>
      </c>
    </row>
    <row r="9" spans="1:40" x14ac:dyDescent="0.2">
      <c r="B9" s="41" t="s">
        <v>46</v>
      </c>
      <c r="C9" s="42" t="s">
        <v>50</v>
      </c>
      <c r="D9" s="43" t="s">
        <v>48</v>
      </c>
      <c r="E9" s="44">
        <v>52500</v>
      </c>
      <c r="F9" s="45">
        <v>92204.892055687786</v>
      </c>
      <c r="G9" s="45">
        <v>105994.33021209858</v>
      </c>
      <c r="H9" s="45"/>
      <c r="I9" s="45">
        <v>29994.82138269697</v>
      </c>
      <c r="J9" s="45">
        <v>36534.266869857085</v>
      </c>
      <c r="K9" s="45"/>
      <c r="L9" s="45">
        <v>5585.6364013721695</v>
      </c>
      <c r="M9" s="45">
        <v>5803.9341934027643</v>
      </c>
      <c r="N9" s="45"/>
      <c r="O9" s="45">
        <v>33059.417726072999</v>
      </c>
      <c r="P9" s="45">
        <v>34006.648059956926</v>
      </c>
      <c r="Q9" s="45"/>
      <c r="R9" s="46">
        <v>1.1769471858785635E-2</v>
      </c>
      <c r="S9" s="46">
        <v>1.2658663140955793E-2</v>
      </c>
      <c r="T9" s="46"/>
      <c r="U9" s="46">
        <v>0.1845478675821203</v>
      </c>
      <c r="V9" s="46">
        <v>0.18659359342920265</v>
      </c>
      <c r="W9" s="46"/>
      <c r="X9" s="37" t="str">
        <f>IF(OR(COUNTBLANK(A_Entry_Forecast[[#This Row],[REV_FY]])&lt;&gt;0,COUNTBLANK(A_Entry_Forecast[[#This Row],[REV_FY+1]])&lt;&gt;0),"N","Y")</f>
        <v>Y</v>
      </c>
      <c r="Y9" s="44"/>
      <c r="Z9" s="44"/>
      <c r="AA9" s="44"/>
      <c r="AB9" s="44"/>
      <c r="AC9" s="44"/>
      <c r="AD9" s="44"/>
      <c r="AE9" s="47">
        <f>VLOOKUP(A_Entry_Forecast[[#This Row],[Ticker]],[1]!A_Entry_Data[#Data],2,FALSE)</f>
        <v>48000</v>
      </c>
      <c r="AF9" s="40">
        <f>IF(A_Entry_Forecast[[#This Row],[Target Price]]&lt;&gt;0,A_Entry_Forecast[[#This Row],[Target Price]]/AE9-1,"")</f>
        <v>9.375E-2</v>
      </c>
      <c r="AH9" s="1" t="s">
        <v>47</v>
      </c>
      <c r="AI9" s="7">
        <v>0</v>
      </c>
      <c r="AJ9" s="7">
        <v>21551.778999999999</v>
      </c>
      <c r="AK9" s="7">
        <v>0</v>
      </c>
      <c r="AL9" s="7">
        <v>20691.5</v>
      </c>
      <c r="AM9" s="8">
        <v>9.7000000000000003E-3</v>
      </c>
      <c r="AN9" s="8">
        <v>0.1983</v>
      </c>
    </row>
    <row r="10" spans="1:40" x14ac:dyDescent="0.2">
      <c r="B10" s="41" t="s">
        <v>46</v>
      </c>
      <c r="C10" s="42" t="s">
        <v>51</v>
      </c>
      <c r="D10" s="43" t="s">
        <v>48</v>
      </c>
      <c r="E10" s="44">
        <v>76000</v>
      </c>
      <c r="F10" s="45">
        <v>74171.353631118312</v>
      </c>
      <c r="G10" s="45">
        <v>85650.801557819068</v>
      </c>
      <c r="H10" s="45"/>
      <c r="I10" s="45">
        <v>35307.008256770489</v>
      </c>
      <c r="J10" s="45">
        <v>41707.745964231573</v>
      </c>
      <c r="K10" s="45"/>
      <c r="L10" s="45">
        <v>4225.5040704656722</v>
      </c>
      <c r="M10" s="45">
        <v>4991.5373474900289</v>
      </c>
      <c r="N10" s="45"/>
      <c r="O10" s="45">
        <v>27696.081944773348</v>
      </c>
      <c r="P10" s="45">
        <v>36959.264465387372</v>
      </c>
      <c r="Q10" s="45"/>
      <c r="R10" s="46">
        <v>1.5613356954423546E-2</v>
      </c>
      <c r="S10" s="46">
        <v>1.5649894891360944E-2</v>
      </c>
      <c r="T10" s="46"/>
      <c r="U10" s="46">
        <v>0.16516630498869897</v>
      </c>
      <c r="V10" s="46">
        <v>0.15440447309104816</v>
      </c>
      <c r="W10" s="46"/>
      <c r="X10" s="37" t="str">
        <f>IF(OR(COUNTBLANK(A_Entry_Forecast[[#This Row],[REV_FY]])&lt;&gt;0,COUNTBLANK(A_Entry_Forecast[[#This Row],[REV_FY+1]])&lt;&gt;0),"N","Y")</f>
        <v>Y</v>
      </c>
      <c r="Y10" s="44"/>
      <c r="Z10" s="44"/>
      <c r="AA10" s="44"/>
      <c r="AB10" s="44"/>
      <c r="AC10" s="44"/>
      <c r="AD10" s="44"/>
      <c r="AE10" s="47">
        <f>VLOOKUP(A_Entry_Forecast[[#This Row],[Ticker]],[1]!A_Entry_Data[#Data],2,FALSE)</f>
        <v>63000</v>
      </c>
      <c r="AF10" s="40">
        <f>IF(A_Entry_Forecast[[#This Row],[Target Price]]&lt;&gt;0,A_Entry_Forecast[[#This Row],[Target Price]]/AE10-1,"")</f>
        <v>0.20634920634920628</v>
      </c>
      <c r="AH10" s="1" t="s">
        <v>52</v>
      </c>
      <c r="AI10" s="7">
        <v>0</v>
      </c>
      <c r="AJ10" s="7">
        <v>20676.788</v>
      </c>
      <c r="AK10" s="7">
        <v>0</v>
      </c>
      <c r="AL10" s="7">
        <v>17786.07</v>
      </c>
      <c r="AM10" s="8">
        <v>2.47E-2</v>
      </c>
      <c r="AN10" s="8">
        <v>0.24510000000000001</v>
      </c>
    </row>
    <row r="11" spans="1:40" x14ac:dyDescent="0.2">
      <c r="B11" s="41" t="s">
        <v>46</v>
      </c>
      <c r="C11" s="42" t="s">
        <v>53</v>
      </c>
      <c r="D11" s="43" t="s">
        <v>48</v>
      </c>
      <c r="E11" s="44">
        <v>31000</v>
      </c>
      <c r="F11" s="45">
        <v>40259.70048167809</v>
      </c>
      <c r="G11" s="45">
        <v>49782.049538912863</v>
      </c>
      <c r="H11" s="45"/>
      <c r="I11" s="45">
        <v>15580.847412318082</v>
      </c>
      <c r="J11" s="45">
        <v>19865.032604090389</v>
      </c>
      <c r="K11" s="45"/>
      <c r="L11" s="45">
        <v>3712.2983809866296</v>
      </c>
      <c r="M11" s="45">
        <v>3941.8475216989518</v>
      </c>
      <c r="N11" s="45"/>
      <c r="O11" s="45">
        <v>16695.368434359723</v>
      </c>
      <c r="P11" s="45">
        <v>17846.327296673</v>
      </c>
      <c r="Q11" s="45"/>
      <c r="R11" s="46">
        <v>1.972471215131397E-2</v>
      </c>
      <c r="S11" s="46">
        <v>1.9989579227683407E-2</v>
      </c>
      <c r="T11" s="46"/>
      <c r="U11" s="46">
        <v>0.25016803916557312</v>
      </c>
      <c r="V11" s="46">
        <v>0.24829904403979983</v>
      </c>
      <c r="W11" s="46"/>
      <c r="X11" s="37" t="str">
        <f>IF(OR(COUNTBLANK(A_Entry_Forecast[[#This Row],[REV_FY]])&lt;&gt;0,COUNTBLANK(A_Entry_Forecast[[#This Row],[REV_FY+1]])&lt;&gt;0),"N","Y")</f>
        <v>Y</v>
      </c>
      <c r="Y11" s="44"/>
      <c r="Z11" s="44"/>
      <c r="AA11" s="44"/>
      <c r="AB11" s="44"/>
      <c r="AC11" s="44"/>
      <c r="AD11" s="44"/>
      <c r="AE11" s="47">
        <f>VLOOKUP(A_Entry_Forecast[[#This Row],[Ticker]],[1]!A_Entry_Data[#Data],2,FALSE)</f>
        <v>28900</v>
      </c>
      <c r="AF11" s="40">
        <f>IF(A_Entry_Forecast[[#This Row],[Target Price]]&lt;&gt;0,A_Entry_Forecast[[#This Row],[Target Price]]/AE11-1,"")</f>
        <v>7.2664359861591699E-2</v>
      </c>
      <c r="AH11" s="48" t="s">
        <v>50</v>
      </c>
      <c r="AI11" s="7">
        <v>0</v>
      </c>
      <c r="AJ11" s="7">
        <v>19992.233</v>
      </c>
      <c r="AK11" s="7">
        <v>0</v>
      </c>
      <c r="AL11" s="7">
        <v>23595.8</v>
      </c>
      <c r="AM11" s="8">
        <v>1.04E-2</v>
      </c>
      <c r="AN11" s="8">
        <v>0.17080000000000001</v>
      </c>
    </row>
    <row r="12" spans="1:40" x14ac:dyDescent="0.2">
      <c r="B12" s="41" t="s">
        <v>46</v>
      </c>
      <c r="C12" s="42" t="s">
        <v>52</v>
      </c>
      <c r="D12" s="43" t="s">
        <v>48</v>
      </c>
      <c r="E12" s="44">
        <v>33000</v>
      </c>
      <c r="F12" s="45">
        <v>65788.201216608155</v>
      </c>
      <c r="G12" s="45">
        <v>82056.214269834163</v>
      </c>
      <c r="H12" s="45"/>
      <c r="I12" s="45">
        <v>25355.978521644683</v>
      </c>
      <c r="J12" s="45">
        <v>30675.761793325299</v>
      </c>
      <c r="K12" s="45"/>
      <c r="L12" s="45">
        <v>3613.1769716870454</v>
      </c>
      <c r="M12" s="45">
        <v>4371.2356044940752</v>
      </c>
      <c r="N12" s="45"/>
      <c r="O12" s="45">
        <v>19159.362996578991</v>
      </c>
      <c r="P12" s="45">
        <v>23530.59860107307</v>
      </c>
      <c r="Q12" s="45"/>
      <c r="R12" s="46">
        <v>1.968972797317381E-2</v>
      </c>
      <c r="S12" s="46">
        <v>1.8550651310696456E-2</v>
      </c>
      <c r="T12" s="46"/>
      <c r="U12" s="46">
        <v>0.20564273460145485</v>
      </c>
      <c r="V12" s="46">
        <v>0.20478985882875525</v>
      </c>
      <c r="W12" s="46"/>
      <c r="X12" s="37" t="str">
        <f>IF(OR(COUNTBLANK(A_Entry_Forecast[[#This Row],[REV_FY]])&lt;&gt;0,COUNTBLANK(A_Entry_Forecast[[#This Row],[REV_FY+1]])&lt;&gt;0),"N","Y")</f>
        <v>Y</v>
      </c>
      <c r="Y12" s="44"/>
      <c r="Z12" s="44"/>
      <c r="AA12" s="44"/>
      <c r="AB12" s="44"/>
      <c r="AC12" s="44"/>
      <c r="AD12" s="44"/>
      <c r="AE12" s="47">
        <f>VLOOKUP(A_Entry_Forecast[[#This Row],[Ticker]],[1]!A_Entry_Data[#Data],2,FALSE)</f>
        <v>32400</v>
      </c>
      <c r="AF12" s="40">
        <f>IF(A_Entry_Forecast[[#This Row],[Target Price]]&lt;&gt;0,A_Entry_Forecast[[#This Row],[Target Price]]/AE12-1,"")</f>
        <v>1.8518518518518601E-2</v>
      </c>
      <c r="AH12" s="1" t="s">
        <v>53</v>
      </c>
      <c r="AI12" s="7">
        <v>0</v>
      </c>
      <c r="AJ12" s="7">
        <v>10070.897999999999</v>
      </c>
      <c r="AK12" s="7">
        <v>3482</v>
      </c>
      <c r="AL12" s="7">
        <v>15293.84</v>
      </c>
      <c r="AM12" s="8">
        <v>1.9800000000000002E-2</v>
      </c>
      <c r="AN12" s="8">
        <v>0.24740000000000001</v>
      </c>
    </row>
    <row r="13" spans="1:40" x14ac:dyDescent="0.2">
      <c r="B13" s="41" t="s">
        <v>46</v>
      </c>
      <c r="C13" s="42" t="s">
        <v>54</v>
      </c>
      <c r="D13" s="43" t="s">
        <v>48</v>
      </c>
      <c r="E13" s="44">
        <v>42000</v>
      </c>
      <c r="F13" s="45">
        <v>54304.020590139357</v>
      </c>
      <c r="G13" s="45">
        <v>65366.619824835652</v>
      </c>
      <c r="H13" s="45"/>
      <c r="I13" s="45">
        <v>24829.701018144166</v>
      </c>
      <c r="J13" s="45">
        <v>30000.567467818026</v>
      </c>
      <c r="K13" s="45"/>
      <c r="L13" s="45">
        <v>3511.8801322430218</v>
      </c>
      <c r="M13" s="45">
        <v>4233.6299319859691</v>
      </c>
      <c r="N13" s="45"/>
      <c r="O13" s="45">
        <v>23110.798015397926</v>
      </c>
      <c r="P13" s="45">
        <v>26591.297984133518</v>
      </c>
      <c r="Q13" s="45"/>
      <c r="R13" s="46">
        <v>2.3218685243105268E-2</v>
      </c>
      <c r="S13" s="46">
        <v>2.345114209542816E-2</v>
      </c>
      <c r="T13" s="46"/>
      <c r="U13" s="46">
        <v>0.16080519018416684</v>
      </c>
      <c r="V13" s="46">
        <v>0.1705398246007451</v>
      </c>
      <c r="W13" s="46"/>
      <c r="X13" s="37" t="str">
        <f>IF(OR(COUNTBLANK(A_Entry_Forecast[[#This Row],[REV_FY]])&lt;&gt;0,COUNTBLANK(A_Entry_Forecast[[#This Row],[REV_FY+1]])&lt;&gt;0),"N","Y")</f>
        <v>Y</v>
      </c>
      <c r="Y13" s="44"/>
      <c r="Z13" s="44"/>
      <c r="AA13" s="44"/>
      <c r="AB13" s="44"/>
      <c r="AC13" s="44"/>
      <c r="AD13" s="44"/>
      <c r="AE13" s="47">
        <f>VLOOKUP(A_Entry_Forecast[[#This Row],[Ticker]],[1]!A_Entry_Data[#Data],2,FALSE)</f>
        <v>37700</v>
      </c>
      <c r="AF13" s="40">
        <f>IF(A_Entry_Forecast[[#This Row],[Target Price]]&lt;&gt;0,A_Entry_Forecast[[#This Row],[Target Price]]/AE13-1,"")</f>
        <v>0.11405835543766574</v>
      </c>
      <c r="AH13" s="1" t="s">
        <v>55</v>
      </c>
      <c r="AI13" s="7">
        <v>0</v>
      </c>
      <c r="AJ13" s="7">
        <v>5572.2460000000001</v>
      </c>
      <c r="AK13" s="7">
        <v>-2703</v>
      </c>
      <c r="AL13" s="7">
        <v>13339.53</v>
      </c>
      <c r="AM13" s="8">
        <v>1.5699999999999999E-2</v>
      </c>
      <c r="AN13" s="8">
        <v>0.19159999999999999</v>
      </c>
    </row>
    <row r="14" spans="1:40" x14ac:dyDescent="0.2">
      <c r="B14" s="41" t="s">
        <v>46</v>
      </c>
      <c r="C14" s="42" t="s">
        <v>56</v>
      </c>
      <c r="D14" s="43" t="s">
        <v>48</v>
      </c>
      <c r="E14" s="44">
        <v>27000</v>
      </c>
      <c r="F14" s="45">
        <v>70386.133443821134</v>
      </c>
      <c r="G14" s="45">
        <v>83310.406106069961</v>
      </c>
      <c r="H14" s="45"/>
      <c r="I14" s="45">
        <v>18274.46601951967</v>
      </c>
      <c r="J14" s="45">
        <v>21970.000508621073</v>
      </c>
      <c r="K14" s="45"/>
      <c r="L14" s="45">
        <v>2303.3395958506753</v>
      </c>
      <c r="M14" s="45">
        <v>2769.1300002043226</v>
      </c>
      <c r="N14" s="45"/>
      <c r="O14" s="45">
        <v>19689.243753957031</v>
      </c>
      <c r="P14" s="45">
        <v>21458.373754161348</v>
      </c>
      <c r="Q14" s="45"/>
      <c r="R14" s="46">
        <v>1.8052079341840031E-2</v>
      </c>
      <c r="S14" s="46">
        <v>1.7838785651848592E-2</v>
      </c>
      <c r="T14" s="46"/>
      <c r="U14" s="46">
        <v>0.12259909668172961</v>
      </c>
      <c r="V14" s="46">
        <v>0.13459491304243681</v>
      </c>
      <c r="W14" s="46"/>
      <c r="X14" s="37" t="str">
        <f>IF(OR(COUNTBLANK(A_Entry_Forecast[[#This Row],[REV_FY]])&lt;&gt;0,COUNTBLANK(A_Entry_Forecast[[#This Row],[REV_FY+1]])&lt;&gt;0),"N","Y")</f>
        <v>Y</v>
      </c>
      <c r="Y14" s="44"/>
      <c r="Z14" s="44"/>
      <c r="AA14" s="44"/>
      <c r="AB14" s="44"/>
      <c r="AC14" s="44"/>
      <c r="AD14" s="44"/>
      <c r="AE14" s="47">
        <f>VLOOKUP(A_Entry_Forecast[[#This Row],[Ticker]],[1]!A_Entry_Data[#Data],2,FALSE)</f>
        <v>29600</v>
      </c>
      <c r="AF14" s="40">
        <f>IF(A_Entry_Forecast[[#This Row],[Target Price]]&lt;&gt;0,A_Entry_Forecast[[#This Row],[Target Price]]/AE14-1,"")</f>
        <v>-8.7837837837837829E-2</v>
      </c>
      <c r="AH14" s="1" t="s">
        <v>57</v>
      </c>
      <c r="AI14" s="7">
        <v>0</v>
      </c>
      <c r="AJ14" s="7">
        <v>7718.616</v>
      </c>
      <c r="AK14" s="7">
        <v>4094</v>
      </c>
      <c r="AL14" s="7">
        <v>24259.22</v>
      </c>
      <c r="AM14" s="8">
        <v>1.2200000000000001E-2</v>
      </c>
      <c r="AN14" s="8">
        <v>0.183</v>
      </c>
    </row>
    <row r="15" spans="1:40" x14ac:dyDescent="0.2">
      <c r="B15" s="49" t="s">
        <v>58</v>
      </c>
      <c r="C15" s="50" t="s">
        <v>49</v>
      </c>
      <c r="D15" s="51" t="s">
        <v>48</v>
      </c>
      <c r="E15" s="52">
        <v>26400</v>
      </c>
      <c r="F15" s="53">
        <v>37297.511763940369</v>
      </c>
      <c r="G15" s="53">
        <v>42675.060638137933</v>
      </c>
      <c r="H15" s="53"/>
      <c r="I15" s="53">
        <v>18939.742516247694</v>
      </c>
      <c r="J15" s="53">
        <v>21965.659967010004</v>
      </c>
      <c r="K15" s="53"/>
      <c r="L15" s="53">
        <v>4240.249172734877</v>
      </c>
      <c r="M15" s="53">
        <v>4917.6947059226695</v>
      </c>
      <c r="N15" s="53"/>
      <c r="O15" s="53">
        <v>21692.616248871138</v>
      </c>
      <c r="P15" s="53">
        <v>25084.815587059042</v>
      </c>
      <c r="Q15" s="53"/>
      <c r="R15" s="54">
        <v>2.0531521247191702E-2</v>
      </c>
      <c r="S15" s="54">
        <v>2.0800810696138868E-2</v>
      </c>
      <c r="T15" s="54"/>
      <c r="U15" s="54">
        <v>0.21002715792584398</v>
      </c>
      <c r="V15" s="54">
        <v>0.21025928585268519</v>
      </c>
      <c r="W15" s="54"/>
      <c r="X15" s="37" t="str">
        <f>IF(OR(COUNTBLANK(A_Entry_Forecast[[#This Row],[REV_FY]])&lt;&gt;0,COUNTBLANK(A_Entry_Forecast[[#This Row],[REV_FY+1]])&lt;&gt;0),"N","Y")</f>
        <v>Y</v>
      </c>
      <c r="Y15" s="52"/>
      <c r="Z15" s="52"/>
      <c r="AA15" s="52"/>
      <c r="AB15" s="52"/>
      <c r="AC15" s="52"/>
      <c r="AD15" s="52"/>
      <c r="AE15" s="47">
        <f>VLOOKUP(A_Entry_Forecast[[#This Row],[Ticker]],[1]!A_Entry_Data[#Data],2,FALSE)</f>
        <v>24250</v>
      </c>
      <c r="AF15" s="40">
        <f>IF(A_Entry_Forecast[[#This Row],[Target Price]]&lt;&gt;0,A_Entry_Forecast[[#This Row],[Target Price]]/AE15-1,"")</f>
        <v>8.8659793814432897E-2</v>
      </c>
      <c r="AH15" s="1" t="s">
        <v>54</v>
      </c>
      <c r="AI15" s="7">
        <v>0</v>
      </c>
      <c r="AJ15" s="7">
        <v>18003.802</v>
      </c>
      <c r="AK15" s="7">
        <v>0</v>
      </c>
      <c r="AL15" s="7">
        <v>36993.85</v>
      </c>
      <c r="AM15" s="8">
        <v>2.3300000000000001E-2</v>
      </c>
      <c r="AN15" s="8">
        <v>0.1484</v>
      </c>
    </row>
    <row r="16" spans="1:40" x14ac:dyDescent="0.2">
      <c r="B16" s="49" t="s">
        <v>58</v>
      </c>
      <c r="C16" s="50" t="s">
        <v>59</v>
      </c>
      <c r="D16" s="51" t="s">
        <v>60</v>
      </c>
      <c r="E16" s="52">
        <v>14000</v>
      </c>
      <c r="F16" s="53">
        <v>15880.373570939968</v>
      </c>
      <c r="G16" s="53">
        <v>18011.716757158676</v>
      </c>
      <c r="H16" s="53"/>
      <c r="I16" s="53">
        <v>6436.1290613502633</v>
      </c>
      <c r="J16" s="53">
        <v>7496.3334247800158</v>
      </c>
      <c r="K16" s="53"/>
      <c r="L16" s="53">
        <v>2475.4342543654861</v>
      </c>
      <c r="M16" s="53">
        <v>2883.2051633769292</v>
      </c>
      <c r="N16" s="53"/>
      <c r="O16" s="53">
        <v>15964.999615384617</v>
      </c>
      <c r="P16" s="53">
        <v>18390.925184662792</v>
      </c>
      <c r="Q16" s="53"/>
      <c r="R16" s="54">
        <v>1.8940010630577677E-2</v>
      </c>
      <c r="S16" s="54">
        <v>1.9260980301730915E-2</v>
      </c>
      <c r="T16" s="55"/>
      <c r="U16" s="54">
        <v>0.1643409117806455</v>
      </c>
      <c r="V16" s="54">
        <v>0.16784325732212285</v>
      </c>
      <c r="W16" s="55"/>
      <c r="X16" s="37" t="str">
        <f>IF(OR(COUNTBLANK(A_Entry_Forecast[[#This Row],[REV_FY]])&lt;&gt;0,COUNTBLANK(A_Entry_Forecast[[#This Row],[REV_FY+1]])&lt;&gt;0),"N","Y")</f>
        <v>Y</v>
      </c>
      <c r="Y16" s="52"/>
      <c r="Z16" s="52"/>
      <c r="AA16" s="52"/>
      <c r="AB16" s="52"/>
      <c r="AC16" s="52"/>
      <c r="AD16" s="52"/>
      <c r="AE16" s="47">
        <f>VLOOKUP(A_Entry_Forecast[[#This Row],[Ticker]],[1]!A_Entry_Data[#Data],2,FALSE)</f>
        <v>15400</v>
      </c>
      <c r="AF16" s="40">
        <f>IF(A_Entry_Forecast[[#This Row],[Target Price]]&lt;&gt;0,A_Entry_Forecast[[#This Row],[Target Price]]/AE16-1,"")</f>
        <v>-9.0909090909090939E-2</v>
      </c>
      <c r="AH16" s="1" t="s">
        <v>61</v>
      </c>
      <c r="AI16" s="7">
        <v>0</v>
      </c>
      <c r="AJ16" s="7">
        <v>4463.12</v>
      </c>
      <c r="AK16" s="7">
        <v>0</v>
      </c>
      <c r="AL16" s="7">
        <v>14872</v>
      </c>
      <c r="AM16" s="8">
        <v>1.2999999999999999E-2</v>
      </c>
      <c r="AN16" s="8">
        <v>0.13739999999999999</v>
      </c>
    </row>
    <row r="17" spans="2:40" x14ac:dyDescent="0.2">
      <c r="B17" s="49" t="s">
        <v>58</v>
      </c>
      <c r="C17" s="50" t="s">
        <v>57</v>
      </c>
      <c r="D17" s="51" t="s">
        <v>60</v>
      </c>
      <c r="E17" s="52">
        <v>49000</v>
      </c>
      <c r="F17" s="53">
        <v>32623.843639521987</v>
      </c>
      <c r="G17" s="53">
        <v>37000.293942201752</v>
      </c>
      <c r="H17" s="53"/>
      <c r="I17" s="53">
        <v>11837.216654294734</v>
      </c>
      <c r="J17" s="53">
        <v>13648.491479486198</v>
      </c>
      <c r="K17" s="53"/>
      <c r="L17" s="53">
        <v>6278.9719785545931</v>
      </c>
      <c r="M17" s="53">
        <v>7239.7505302179425</v>
      </c>
      <c r="N17" s="53"/>
      <c r="O17" s="53">
        <v>33615.288405541811</v>
      </c>
      <c r="P17" s="53">
        <v>37752.745956845189</v>
      </c>
      <c r="Q17" s="53"/>
      <c r="R17" s="54">
        <v>1.4979945289375901E-2</v>
      </c>
      <c r="S17" s="54">
        <v>1.4481270623687459E-2</v>
      </c>
      <c r="T17" s="55"/>
      <c r="U17" s="54">
        <v>0.20004736447947036</v>
      </c>
      <c r="V17" s="54">
        <v>0.20288496369275089</v>
      </c>
      <c r="W17" s="55"/>
      <c r="X17" s="37" t="str">
        <f>IF(OR(COUNTBLANK(A_Entry_Forecast[[#This Row],[REV_FY]])&lt;&gt;0,COUNTBLANK(A_Entry_Forecast[[#This Row],[REV_FY+1]])&lt;&gt;0),"N","Y")</f>
        <v>Y</v>
      </c>
      <c r="Y17" s="52"/>
      <c r="Z17" s="52"/>
      <c r="AA17" s="52"/>
      <c r="AB17" s="52"/>
      <c r="AC17" s="52"/>
      <c r="AD17" s="52"/>
      <c r="AE17" s="47">
        <f>VLOOKUP(A_Entry_Forecast[[#This Row],[Ticker]],[1]!A_Entry_Data[#Data],2,FALSE)</f>
        <v>54000</v>
      </c>
      <c r="AF17" s="40">
        <f>IF(A_Entry_Forecast[[#This Row],[Target Price]]&lt;&gt;0,A_Entry_Forecast[[#This Row],[Target Price]]/AE17-1,"")</f>
        <v>-9.259259259259256E-2</v>
      </c>
      <c r="AH17" s="1" t="s">
        <v>51</v>
      </c>
      <c r="AI17" s="7">
        <v>0</v>
      </c>
      <c r="AJ17" s="7">
        <v>33033.203000000001</v>
      </c>
      <c r="AK17" s="7">
        <v>-5910</v>
      </c>
      <c r="AL17" s="7">
        <v>30138.95</v>
      </c>
      <c r="AM17" s="8">
        <v>1.8100000000000002E-2</v>
      </c>
      <c r="AN17" s="8">
        <v>0.21729999999999999</v>
      </c>
    </row>
    <row r="18" spans="2:40" x14ac:dyDescent="0.2">
      <c r="B18" s="49" t="s">
        <v>58</v>
      </c>
      <c r="C18" s="50" t="s">
        <v>61</v>
      </c>
      <c r="D18" s="51" t="s">
        <v>60</v>
      </c>
      <c r="E18" s="52">
        <v>15500</v>
      </c>
      <c r="F18" s="53">
        <v>19423.167839243109</v>
      </c>
      <c r="G18" s="53">
        <v>21759.822169529532</v>
      </c>
      <c r="H18" s="53"/>
      <c r="I18" s="53">
        <v>6816.0783576752192</v>
      </c>
      <c r="J18" s="53">
        <v>7932.9675332450806</v>
      </c>
      <c r="K18" s="53"/>
      <c r="L18" s="53">
        <v>2579.936169144371</v>
      </c>
      <c r="M18" s="53">
        <v>3002.6869988401322</v>
      </c>
      <c r="N18" s="53"/>
      <c r="O18" s="53">
        <v>15483.397983660743</v>
      </c>
      <c r="P18" s="53">
        <v>17011.735429422228</v>
      </c>
      <c r="Q18" s="53"/>
      <c r="R18" s="54">
        <v>1.5682870450842486E-2</v>
      </c>
      <c r="S18" s="54">
        <v>1.5686144857082963E-2</v>
      </c>
      <c r="T18" s="55"/>
      <c r="U18" s="54">
        <v>0.17365191686360806</v>
      </c>
      <c r="V18" s="54">
        <v>0.18480841181167212</v>
      </c>
      <c r="W18" s="55"/>
      <c r="X18" s="37" t="str">
        <f>IF(OR(COUNTBLANK(A_Entry_Forecast[[#This Row],[REV_FY]])&lt;&gt;0,COUNTBLANK(A_Entry_Forecast[[#This Row],[REV_FY+1]])&lt;&gt;0),"N","Y")</f>
        <v>Y</v>
      </c>
      <c r="Y18" s="52"/>
      <c r="Z18" s="52"/>
      <c r="AA18" s="52"/>
      <c r="AB18" s="52"/>
      <c r="AC18" s="52"/>
      <c r="AD18" s="52"/>
      <c r="AE18" s="47">
        <f>VLOOKUP(A_Entry_Forecast[[#This Row],[Ticker]],[1]!A_Entry_Data[#Data],2,FALSE)</f>
        <v>19200</v>
      </c>
      <c r="AF18" s="40">
        <f>IF(A_Entry_Forecast[[#This Row],[Target Price]]&lt;&gt;0,A_Entry_Forecast[[#This Row],[Target Price]]/AE18-1,"")</f>
        <v>-0.19270833333333337</v>
      </c>
      <c r="AH18" s="1" t="s">
        <v>62</v>
      </c>
      <c r="AI18" s="7">
        <v>0</v>
      </c>
      <c r="AJ18" s="7">
        <v>8562.4210000000003</v>
      </c>
      <c r="AK18" s="7">
        <v>3332</v>
      </c>
      <c r="AL18" s="7">
        <v>14955.39</v>
      </c>
      <c r="AM18" s="8">
        <v>2.2800000000000001E-2</v>
      </c>
      <c r="AN18" s="8">
        <v>0.24260000000000001</v>
      </c>
    </row>
    <row r="19" spans="2:40" x14ac:dyDescent="0.2">
      <c r="B19" s="49" t="s">
        <v>58</v>
      </c>
      <c r="C19" s="50" t="s">
        <v>62</v>
      </c>
      <c r="D19" s="51" t="s">
        <v>48</v>
      </c>
      <c r="E19" s="52">
        <v>22200</v>
      </c>
      <c r="F19" s="53">
        <v>22804.392096362135</v>
      </c>
      <c r="G19" s="53">
        <v>26838.704256264256</v>
      </c>
      <c r="H19" s="53"/>
      <c r="I19" s="53">
        <v>8744.8515110049193</v>
      </c>
      <c r="J19" s="53">
        <v>10812.779170868323</v>
      </c>
      <c r="K19" s="53"/>
      <c r="L19" s="53">
        <v>2935.3730682533724</v>
      </c>
      <c r="M19" s="53">
        <v>3629.5116882425536</v>
      </c>
      <c r="N19" s="53"/>
      <c r="O19" s="53">
        <v>16421.646516809386</v>
      </c>
      <c r="P19" s="53">
        <v>19298.312123697691</v>
      </c>
      <c r="Q19" s="53"/>
      <c r="R19" s="54">
        <v>1.6421618542765075E-2</v>
      </c>
      <c r="S19" s="54">
        <v>1.7479293339072208E-2</v>
      </c>
      <c r="T19" s="55"/>
      <c r="U19" s="54">
        <v>0.19265184409179931</v>
      </c>
      <c r="V19" s="54">
        <v>0.20322037462420925</v>
      </c>
      <c r="W19" s="55"/>
      <c r="X19" s="37" t="str">
        <f>IF(OR(COUNTBLANK(A_Entry_Forecast[[#This Row],[REV_FY]])&lt;&gt;0,COUNTBLANK(A_Entry_Forecast[[#This Row],[REV_FY+1]])&lt;&gt;0),"N","Y")</f>
        <v>Y</v>
      </c>
      <c r="Y19" s="52"/>
      <c r="Z19" s="52"/>
      <c r="AA19" s="52"/>
      <c r="AB19" s="52"/>
      <c r="AC19" s="52"/>
      <c r="AD19" s="52"/>
      <c r="AE19" s="47">
        <f>VLOOKUP(A_Entry_Forecast[[#This Row],[Ticker]],[1]!A_Entry_Data[#Data],2,FALSE)</f>
        <v>19900</v>
      </c>
      <c r="AF19" s="40">
        <f>IF(A_Entry_Forecast[[#This Row],[Target Price]]&lt;&gt;0,A_Entry_Forecast[[#This Row],[Target Price]]/AE19-1,"")</f>
        <v>0.11557788944723613</v>
      </c>
      <c r="AH19" s="1" t="s">
        <v>56</v>
      </c>
      <c r="AI19" s="7">
        <v>0</v>
      </c>
      <c r="AJ19" s="7">
        <v>10052.574000000001</v>
      </c>
      <c r="AK19" s="7">
        <v>1445</v>
      </c>
      <c r="AL19" s="7">
        <v>16979.509999999998</v>
      </c>
      <c r="AM19" s="8">
        <v>1.3899999999999999E-2</v>
      </c>
      <c r="AN19" s="8">
        <v>8.6800000000000002E-2</v>
      </c>
    </row>
    <row r="20" spans="2:40" x14ac:dyDescent="0.2">
      <c r="B20" s="49" t="s">
        <v>58</v>
      </c>
      <c r="C20" s="51" t="s">
        <v>63</v>
      </c>
      <c r="D20" s="51" t="s">
        <v>60</v>
      </c>
      <c r="E20" s="52">
        <v>25200</v>
      </c>
      <c r="F20" s="53">
        <v>9980.2663634936544</v>
      </c>
      <c r="G20" s="53">
        <v>11529.371305199526</v>
      </c>
      <c r="H20" s="56"/>
      <c r="I20" s="56">
        <v>4062.3505461573382</v>
      </c>
      <c r="J20" s="56">
        <v>4734.751873124429</v>
      </c>
      <c r="K20" s="56"/>
      <c r="L20" s="56">
        <v>2173.762577201423</v>
      </c>
      <c r="M20" s="56">
        <v>2533.5643286293584</v>
      </c>
      <c r="N20" s="56"/>
      <c r="O20" s="56">
        <v>14943.830798048768</v>
      </c>
      <c r="P20" s="56">
        <v>16791.528988669979</v>
      </c>
      <c r="Q20" s="56"/>
      <c r="R20" s="57">
        <v>1.591796285912336E-2</v>
      </c>
      <c r="S20" s="58">
        <v>1.5924709209232599E-2</v>
      </c>
      <c r="T20" s="58"/>
      <c r="U20" s="57">
        <v>0.15321936154917984</v>
      </c>
      <c r="V20" s="58">
        <v>0.15966822784783147</v>
      </c>
      <c r="W20" s="58"/>
      <c r="X20" s="37" t="str">
        <f>IF(OR(COUNTBLANK(A_Entry_Forecast[[#This Row],[REV_FY]])&lt;&gt;0,COUNTBLANK(A_Entry_Forecast[[#This Row],[REV_FY+1]])&lt;&gt;0),"N","Y")</f>
        <v>Y</v>
      </c>
      <c r="Y20" s="52"/>
      <c r="Z20" s="59"/>
      <c r="AA20" s="59"/>
      <c r="AB20" s="52"/>
      <c r="AC20" s="59"/>
      <c r="AD20" s="59"/>
      <c r="AE20" s="47">
        <f>VLOOKUP(A_Entry_Forecast[[#This Row],[Ticker]],[1]!A_Entry_Data[#Data],2,FALSE)</f>
        <v>27600</v>
      </c>
      <c r="AF20" s="40">
        <f>IF(A_Entry_Forecast[[#This Row],[Target Price]]&lt;&gt;0,A_Entry_Forecast[[#This Row],[Target Price]]/AE20-1,"")</f>
        <v>-8.6956521739130488E-2</v>
      </c>
      <c r="AH20" s="1" t="s">
        <v>64</v>
      </c>
      <c r="AI20" s="7">
        <v>147423.36594357601</v>
      </c>
      <c r="AJ20" s="7">
        <v>8511.4386899389992</v>
      </c>
      <c r="AK20" s="7">
        <v>2745</v>
      </c>
      <c r="AL20" s="7">
        <v>18466.349999999999</v>
      </c>
      <c r="AM20" s="8">
        <v>0.1032</v>
      </c>
      <c r="AN20" s="8">
        <v>0.15579999999999999</v>
      </c>
    </row>
    <row r="21" spans="2:40" x14ac:dyDescent="0.2">
      <c r="B21" s="49" t="s">
        <v>58</v>
      </c>
      <c r="C21" s="51" t="s">
        <v>65</v>
      </c>
      <c r="D21" s="51" t="s">
        <v>60</v>
      </c>
      <c r="E21" s="52">
        <v>19500</v>
      </c>
      <c r="F21" s="53">
        <v>10350.989938024471</v>
      </c>
      <c r="G21" s="53">
        <v>11753.209268865779</v>
      </c>
      <c r="H21" s="56"/>
      <c r="I21" s="56">
        <v>4165</v>
      </c>
      <c r="J21" s="56">
        <v>4715.6641083856694</v>
      </c>
      <c r="K21" s="56"/>
      <c r="L21" s="56">
        <v>3149</v>
      </c>
      <c r="M21" s="56">
        <v>3565.5832570550288</v>
      </c>
      <c r="N21" s="56"/>
      <c r="O21" s="56">
        <v>17760</v>
      </c>
      <c r="P21" s="56">
        <v>21389.377469036528</v>
      </c>
      <c r="Q21" s="56"/>
      <c r="R21" s="57">
        <v>1.6E-2</v>
      </c>
      <c r="S21" s="58">
        <v>1.5555162463023128E-2</v>
      </c>
      <c r="T21" s="58"/>
      <c r="U21" s="57">
        <v>0.19500000000000001</v>
      </c>
      <c r="V21" s="58">
        <v>0.18215261978674765</v>
      </c>
      <c r="W21" s="58"/>
      <c r="X21" s="37" t="str">
        <f>IF(OR(COUNTBLANK(A_Entry_Forecast[[#This Row],[REV_FY]])&lt;&gt;0,COUNTBLANK(A_Entry_Forecast[[#This Row],[REV_FY+1]])&lt;&gt;0),"N","Y")</f>
        <v>Y</v>
      </c>
      <c r="Y21" s="52"/>
      <c r="Z21" s="59"/>
      <c r="AA21" s="59"/>
      <c r="AB21" s="52"/>
      <c r="AC21" s="59"/>
      <c r="AD21" s="59"/>
      <c r="AE21" s="60">
        <f>VLOOKUP(A_Entry_Forecast[[#This Row],[Ticker]],[1]!A_Entry_Data[#Data],2,FALSE)</f>
        <v>15550</v>
      </c>
      <c r="AF21" s="40">
        <f>IF(A_Entry_Forecast[[#This Row],[Target Price]]&lt;&gt;0,A_Entry_Forecast[[#This Row],[Target Price]]/AE21-1,"")</f>
        <v>0.25401929260450151</v>
      </c>
      <c r="AH21" s="1" t="s">
        <v>64</v>
      </c>
      <c r="AI21" s="7">
        <v>147423.36594357601</v>
      </c>
      <c r="AJ21" s="7">
        <v>8511.4386899389992</v>
      </c>
      <c r="AK21" s="7">
        <v>2745</v>
      </c>
      <c r="AL21" s="7">
        <v>18466.349999999999</v>
      </c>
      <c r="AM21" s="8">
        <v>0.1032</v>
      </c>
      <c r="AN21" s="8">
        <v>0.15579999999999999</v>
      </c>
    </row>
    <row r="22" spans="2:40" x14ac:dyDescent="0.2">
      <c r="B22" s="49" t="s">
        <v>58</v>
      </c>
      <c r="C22" s="51" t="s">
        <v>66</v>
      </c>
      <c r="D22" s="51" t="s">
        <v>60</v>
      </c>
      <c r="E22" s="52">
        <v>13900</v>
      </c>
      <c r="F22" s="53">
        <v>11346.648089777505</v>
      </c>
      <c r="G22" s="53">
        <v>13116.430593131912</v>
      </c>
      <c r="H22" s="56"/>
      <c r="I22" s="56">
        <v>3887.0188702418991</v>
      </c>
      <c r="J22" s="56">
        <v>4501.5981394156097</v>
      </c>
      <c r="K22" s="56"/>
      <c r="L22" s="56">
        <v>1576.3792565512506</v>
      </c>
      <c r="M22" s="56">
        <v>1825.6216821151825</v>
      </c>
      <c r="N22" s="56"/>
      <c r="O22" s="56">
        <v>13938.602776406306</v>
      </c>
      <c r="P22" s="56">
        <v>15278.525144474868</v>
      </c>
      <c r="Q22" s="56"/>
      <c r="R22" s="57">
        <v>1.2843387615637207E-2</v>
      </c>
      <c r="S22" s="58">
        <v>1.2864720761272385E-2</v>
      </c>
      <c r="T22" s="58"/>
      <c r="U22" s="57">
        <v>0.11771470094775008</v>
      </c>
      <c r="V22" s="58">
        <v>0.12496927740870996</v>
      </c>
      <c r="W22" s="58"/>
      <c r="X22" s="37" t="str">
        <f>IF(OR(COUNTBLANK(A_Entry_Forecast[[#This Row],[REV_FY]])&lt;&gt;0,COUNTBLANK(A_Entry_Forecast[[#This Row],[REV_FY+1]])&lt;&gt;0),"N","Y")</f>
        <v>Y</v>
      </c>
      <c r="Y22" s="52"/>
      <c r="Z22" s="59"/>
      <c r="AA22" s="59"/>
      <c r="AB22" s="52"/>
      <c r="AC22" s="59"/>
      <c r="AD22" s="59"/>
      <c r="AE22" s="47">
        <f>VLOOKUP(A_Entry_Forecast[[#This Row],[Ticker]],[1]!A_Entry_Data[#Data],2,FALSE)</f>
        <v>12800</v>
      </c>
      <c r="AF22" s="40">
        <f>IF(A_Entry_Forecast[[#This Row],[Target Price]]&lt;&gt;0,A_Entry_Forecast[[#This Row],[Target Price]]/AE22-1,"")</f>
        <v>8.59375E-2</v>
      </c>
      <c r="AH22" s="1" t="s">
        <v>64</v>
      </c>
      <c r="AI22" s="7">
        <v>147423.36594357601</v>
      </c>
      <c r="AJ22" s="7">
        <v>8511.4386899389992</v>
      </c>
      <c r="AK22" s="7">
        <v>2745</v>
      </c>
      <c r="AL22" s="7">
        <v>18466.349999999999</v>
      </c>
      <c r="AM22" s="8">
        <v>0.1032</v>
      </c>
      <c r="AN22" s="8">
        <v>0.15579999999999999</v>
      </c>
    </row>
    <row r="23" spans="2:40" x14ac:dyDescent="0.2">
      <c r="B23" s="49" t="s">
        <v>58</v>
      </c>
      <c r="C23" s="51" t="s">
        <v>67</v>
      </c>
      <c r="D23" s="51" t="s">
        <v>60</v>
      </c>
      <c r="E23" s="52">
        <v>20100</v>
      </c>
      <c r="F23" s="53">
        <v>29629.842710464036</v>
      </c>
      <c r="G23" s="53">
        <v>35349.625088400826</v>
      </c>
      <c r="H23" s="56"/>
      <c r="I23" s="56">
        <v>15995.42671920148</v>
      </c>
      <c r="J23" s="56">
        <v>19408.209153527452</v>
      </c>
      <c r="K23" s="56"/>
      <c r="L23" s="56">
        <v>3294.5868863426267</v>
      </c>
      <c r="M23" s="56">
        <v>3997.5195715065347</v>
      </c>
      <c r="N23" s="56"/>
      <c r="O23" s="56">
        <v>16990.254996070777</v>
      </c>
      <c r="P23" s="56">
        <v>19790.653849462011</v>
      </c>
      <c r="Q23" s="56"/>
      <c r="R23" s="57">
        <v>1.6003329600009851E-2</v>
      </c>
      <c r="S23" s="58">
        <v>1.7143564986875394E-2</v>
      </c>
      <c r="T23" s="58"/>
      <c r="U23" s="57">
        <v>0.20629553412490578</v>
      </c>
      <c r="V23" s="58">
        <v>0.21736926557713659</v>
      </c>
      <c r="W23" s="58"/>
      <c r="X23" s="37" t="str">
        <f>IF(OR(COUNTBLANK(A_Entry_Forecast[[#This Row],[REV_FY]])&lt;&gt;0,COUNTBLANK(A_Entry_Forecast[[#This Row],[REV_FY+1]])&lt;&gt;0),"N","Y")</f>
        <v>Y</v>
      </c>
      <c r="Y23" s="52"/>
      <c r="Z23" s="59"/>
      <c r="AA23" s="59"/>
      <c r="AB23" s="52"/>
      <c r="AC23" s="59"/>
      <c r="AD23" s="59"/>
      <c r="AE23" s="47">
        <f>VLOOKUP(A_Entry_Forecast[[#This Row],[Ticker]],[1]!A_Entry_Data[#Data],2,FALSE)</f>
        <v>18900</v>
      </c>
      <c r="AF23" s="40">
        <f>IF(A_Entry_Forecast[[#This Row],[Target Price]]&lt;&gt;0,A_Entry_Forecast[[#This Row],[Target Price]]/AE23-1,"")</f>
        <v>6.3492063492063489E-2</v>
      </c>
      <c r="AH23" s="1" t="s">
        <v>64</v>
      </c>
      <c r="AI23" s="7">
        <v>147423.36594357601</v>
      </c>
      <c r="AJ23" s="7">
        <v>8511.4386899389992</v>
      </c>
      <c r="AK23" s="7">
        <v>2745</v>
      </c>
      <c r="AL23" s="7">
        <v>18466.349999999999</v>
      </c>
      <c r="AM23" s="8">
        <v>0.1032</v>
      </c>
      <c r="AN23" s="8">
        <v>0.15579999999999999</v>
      </c>
    </row>
    <row r="24" spans="2:40" x14ac:dyDescent="0.2">
      <c r="B24" s="49" t="s">
        <v>58</v>
      </c>
      <c r="C24" s="51" t="s">
        <v>68</v>
      </c>
      <c r="D24" s="51" t="s">
        <v>48</v>
      </c>
      <c r="E24" s="52">
        <v>31200</v>
      </c>
      <c r="F24" s="56">
        <v>9571</v>
      </c>
      <c r="G24" s="56">
        <v>10815</v>
      </c>
      <c r="H24" s="56"/>
      <c r="I24" s="56">
        <v>3285.7649999999999</v>
      </c>
      <c r="J24" s="56">
        <v>3791.77</v>
      </c>
      <c r="K24" s="56"/>
      <c r="L24" s="56">
        <v>1654</v>
      </c>
      <c r="M24" s="56">
        <v>2348</v>
      </c>
      <c r="N24" s="56"/>
      <c r="O24" s="56">
        <v>19800</v>
      </c>
      <c r="P24" s="56">
        <v>22084</v>
      </c>
      <c r="Q24" s="56"/>
      <c r="R24" s="57">
        <v>4.8000000000000001E-2</v>
      </c>
      <c r="S24" s="58">
        <v>4.9000000000000002E-2</v>
      </c>
      <c r="T24" s="58"/>
      <c r="U24" s="57">
        <v>0.11700000000000001</v>
      </c>
      <c r="V24" s="58">
        <v>0.124</v>
      </c>
      <c r="W24" s="58"/>
      <c r="X24" s="37" t="str">
        <f>IF(OR(COUNTBLANK(A_Entry_Forecast[[#This Row],[REV_FY]])&lt;&gt;0,COUNTBLANK(A_Entry_Forecast[[#This Row],[REV_FY+1]])&lt;&gt;0),"N","Y")</f>
        <v>Y</v>
      </c>
      <c r="Y24" s="52"/>
      <c r="Z24" s="59"/>
      <c r="AA24" s="59"/>
      <c r="AB24" s="52"/>
      <c r="AC24" s="59"/>
      <c r="AD24" s="59"/>
      <c r="AE24" s="47">
        <f>VLOOKUP(A_Entry_Forecast[[#This Row],[Ticker]],[1]!A_Entry_Data[#Data],2,FALSE)</f>
        <v>36750</v>
      </c>
      <c r="AF24" s="40">
        <f>IF(A_Entry_Forecast[[#This Row],[Target Price]]&lt;&gt;0,A_Entry_Forecast[[#This Row],[Target Price]]/AE24-1,"")</f>
        <v>-0.15102040816326534</v>
      </c>
      <c r="AH24" s="1" t="s">
        <v>64</v>
      </c>
      <c r="AI24" s="7">
        <v>147423.36594357601</v>
      </c>
      <c r="AJ24" s="7">
        <v>8511.4386899389992</v>
      </c>
      <c r="AK24" s="7">
        <v>2745</v>
      </c>
      <c r="AL24" s="7">
        <v>18466.349999999999</v>
      </c>
      <c r="AM24" s="8">
        <v>0.1032</v>
      </c>
      <c r="AN24" s="8">
        <v>0.15579999999999999</v>
      </c>
    </row>
    <row r="25" spans="2:40" x14ac:dyDescent="0.2">
      <c r="B25" s="49" t="s">
        <v>58</v>
      </c>
      <c r="C25" s="51" t="s">
        <v>69</v>
      </c>
      <c r="D25" s="51" t="s">
        <v>48</v>
      </c>
      <c r="E25" s="52">
        <v>28000</v>
      </c>
      <c r="F25" s="56">
        <v>4864.38</v>
      </c>
      <c r="G25" s="56">
        <v>5788.61</v>
      </c>
      <c r="H25" s="56"/>
      <c r="I25" s="56">
        <v>1175.855</v>
      </c>
      <c r="J25" s="56">
        <v>1376.9267</v>
      </c>
      <c r="K25" s="56"/>
      <c r="L25" s="56">
        <v>1342.857</v>
      </c>
      <c r="M25" s="56">
        <v>1574</v>
      </c>
      <c r="N25" s="56"/>
      <c r="O25" s="56">
        <v>16084.59</v>
      </c>
      <c r="P25" s="56">
        <v>17655.59</v>
      </c>
      <c r="Q25" s="56"/>
      <c r="R25" s="57">
        <v>4.5999999999999999E-2</v>
      </c>
      <c r="S25" s="58">
        <v>4.9000000000000002E-2</v>
      </c>
      <c r="T25" s="58"/>
      <c r="U25" s="57">
        <v>0.115</v>
      </c>
      <c r="V25" s="58">
        <v>0.123</v>
      </c>
      <c r="W25" s="58"/>
      <c r="X25" s="37" t="str">
        <f>IF(OR(COUNTBLANK(A_Entry_Forecast[[#This Row],[REV_FY]])&lt;&gt;0,COUNTBLANK(A_Entry_Forecast[[#This Row],[REV_FY+1]])&lt;&gt;0),"N","Y")</f>
        <v>Y</v>
      </c>
      <c r="Y25" s="52"/>
      <c r="Z25" s="59"/>
      <c r="AA25" s="59"/>
      <c r="AB25" s="52"/>
      <c r="AC25" s="59"/>
      <c r="AD25" s="59"/>
      <c r="AE25" s="60">
        <f>VLOOKUP(A_Entry_Forecast[[#This Row],[Ticker]],[1]!A_Entry_Data[#Data],2,FALSE)</f>
        <v>27750</v>
      </c>
      <c r="AF25" s="40">
        <f>IF(A_Entry_Forecast[[#This Row],[Target Price]]&lt;&gt;0,A_Entry_Forecast[[#This Row],[Target Price]]/AE25-1,"")</f>
        <v>9.009009009008917E-3</v>
      </c>
      <c r="AH25" s="1" t="s">
        <v>64</v>
      </c>
      <c r="AI25" s="7">
        <v>147423.36594357601</v>
      </c>
      <c r="AJ25" s="7">
        <v>8511.4386899389992</v>
      </c>
      <c r="AK25" s="7">
        <v>2745</v>
      </c>
      <c r="AL25" s="7">
        <v>18466.349999999999</v>
      </c>
      <c r="AM25" s="8">
        <v>0.1032</v>
      </c>
      <c r="AN25" s="8">
        <v>0.15579999999999999</v>
      </c>
    </row>
    <row r="26" spans="2:40" x14ac:dyDescent="0.2">
      <c r="B26" s="49" t="s">
        <v>58</v>
      </c>
      <c r="C26" s="51" t="s">
        <v>70</v>
      </c>
      <c r="D26" s="51" t="s">
        <v>60</v>
      </c>
      <c r="E26" s="52">
        <v>42500</v>
      </c>
      <c r="F26" s="56">
        <v>4472</v>
      </c>
      <c r="G26" s="56">
        <v>5321.68</v>
      </c>
      <c r="H26" s="56"/>
      <c r="I26" s="56">
        <v>1386</v>
      </c>
      <c r="J26" s="56">
        <v>1630</v>
      </c>
      <c r="K26" s="56"/>
      <c r="L26" s="56">
        <v>1948</v>
      </c>
      <c r="M26" s="56">
        <v>2280</v>
      </c>
      <c r="N26" s="56"/>
      <c r="O26" s="56">
        <v>20053</v>
      </c>
      <c r="P26" s="56">
        <v>22331.63</v>
      </c>
      <c r="Q26" s="56"/>
      <c r="R26" s="57">
        <v>4.8000000000000001E-2</v>
      </c>
      <c r="S26" s="58">
        <v>0.05</v>
      </c>
      <c r="T26" s="58"/>
      <c r="U26" s="57">
        <v>0.10100000000000001</v>
      </c>
      <c r="V26" s="58">
        <v>0.11600000000000001</v>
      </c>
      <c r="W26" s="58"/>
      <c r="X26" s="37" t="str">
        <f>IF(OR(COUNTBLANK(A_Entry_Forecast[[#This Row],[REV_FY]])&lt;&gt;0,COUNTBLANK(A_Entry_Forecast[[#This Row],[REV_FY+1]])&lt;&gt;0),"N","Y")</f>
        <v>Y</v>
      </c>
      <c r="Y26" s="52"/>
      <c r="Z26" s="59"/>
      <c r="AA26" s="59"/>
      <c r="AB26" s="52"/>
      <c r="AC26" s="59"/>
      <c r="AD26" s="59"/>
      <c r="AE26" s="60">
        <f>VLOOKUP(A_Entry_Forecast[[#This Row],[Ticker]],[1]!A_Entry_Data[#Data],2,FALSE)</f>
        <v>45500</v>
      </c>
      <c r="AF26" s="40">
        <f>IF(A_Entry_Forecast[[#This Row],[Target Price]]&lt;&gt;0,A_Entry_Forecast[[#This Row],[Target Price]]/AE26-1,"")</f>
        <v>-6.5934065934065922E-2</v>
      </c>
      <c r="AH26" s="1" t="s">
        <v>64</v>
      </c>
      <c r="AI26" s="7">
        <v>147423.36594357601</v>
      </c>
      <c r="AJ26" s="7">
        <v>8511.4386899389992</v>
      </c>
      <c r="AK26" s="7">
        <v>2745</v>
      </c>
      <c r="AL26" s="7">
        <v>18466.349999999999</v>
      </c>
      <c r="AM26" s="8">
        <v>0.1032</v>
      </c>
      <c r="AN26" s="8">
        <v>0.15579999999999999</v>
      </c>
    </row>
    <row r="27" spans="2:40" x14ac:dyDescent="0.2">
      <c r="B27" s="49" t="s">
        <v>71</v>
      </c>
      <c r="C27" s="50" t="s">
        <v>72</v>
      </c>
      <c r="D27" s="51" t="s">
        <v>48</v>
      </c>
      <c r="E27" s="52">
        <v>21900</v>
      </c>
      <c r="F27" s="56">
        <v>3146.8478812681124</v>
      </c>
      <c r="G27" s="61">
        <v>18030.777283141939</v>
      </c>
      <c r="H27" s="61"/>
      <c r="I27" s="62">
        <v>223.50369845452948</v>
      </c>
      <c r="J27" s="62">
        <v>2673.3262392883389</v>
      </c>
      <c r="K27" s="62"/>
      <c r="L27" s="63">
        <v>309.36869475529323</v>
      </c>
      <c r="M27" s="63">
        <v>3700.35688457284</v>
      </c>
      <c r="N27" s="63"/>
      <c r="O27" s="63">
        <v>15504.364363094959</v>
      </c>
      <c r="P27" s="63">
        <v>19204.721247667785</v>
      </c>
      <c r="Q27" s="63"/>
      <c r="R27" s="57">
        <v>1.1452492276944832E-2</v>
      </c>
      <c r="S27" s="57">
        <v>7.9828726297198338E-2</v>
      </c>
      <c r="T27" s="57"/>
      <c r="U27" s="57">
        <v>2.2910025023831413E-2</v>
      </c>
      <c r="V27" s="57">
        <v>0.21508706629196253</v>
      </c>
      <c r="W27" s="57"/>
      <c r="X27" s="37" t="str">
        <f>IF(OR(COUNTBLANK(A_Entry_Forecast[[#This Row],[REV_FY]])&lt;&gt;0,COUNTBLANK(A_Entry_Forecast[[#This Row],[REV_FY+1]])&lt;&gt;0),"N","Y")</f>
        <v>Y</v>
      </c>
      <c r="Y27" s="64"/>
      <c r="Z27" s="64"/>
      <c r="AA27" s="64"/>
      <c r="AB27" s="64"/>
      <c r="AC27" s="64"/>
      <c r="AD27" s="64"/>
      <c r="AE27" s="47">
        <f>VLOOKUP(A_Entry_Forecast[[#This Row],[Ticker]],[1]!A_Entry_Data[#Data],2,FALSE)</f>
        <v>21550</v>
      </c>
      <c r="AF27" s="40">
        <f>IF(A_Entry_Forecast[[#This Row],[Target Price]]&lt;&gt;0,A_Entry_Forecast[[#This Row],[Target Price]]/AE27-1,"")</f>
        <v>1.6241299303944245E-2</v>
      </c>
      <c r="AH27" s="1" t="s">
        <v>73</v>
      </c>
      <c r="AI27" s="7">
        <v>29998.097439697001</v>
      </c>
      <c r="AJ27" s="7">
        <v>331.021371757</v>
      </c>
      <c r="AK27" s="7">
        <v>389</v>
      </c>
      <c r="AL27" s="7">
        <v>14507.43</v>
      </c>
      <c r="AM27" s="8">
        <v>6.1999999999999998E-3</v>
      </c>
      <c r="AN27" s="8">
        <v>7.0800000000000002E-2</v>
      </c>
    </row>
    <row r="28" spans="2:40" x14ac:dyDescent="0.2">
      <c r="B28" s="49" t="s">
        <v>71</v>
      </c>
      <c r="C28" s="50" t="s">
        <v>74</v>
      </c>
      <c r="D28" s="51" t="s">
        <v>75</v>
      </c>
      <c r="E28" s="52"/>
      <c r="F28" s="56"/>
      <c r="G28" s="61"/>
      <c r="H28" s="61"/>
      <c r="I28" s="65"/>
      <c r="J28" s="65"/>
      <c r="K28" s="65"/>
      <c r="L28" s="66"/>
      <c r="M28" s="66"/>
      <c r="N28" s="66"/>
      <c r="O28" s="66"/>
      <c r="P28" s="66"/>
      <c r="Q28" s="66"/>
      <c r="R28" s="57"/>
      <c r="S28" s="57"/>
      <c r="T28" s="57"/>
      <c r="U28" s="57"/>
      <c r="V28" s="57"/>
      <c r="W28" s="57"/>
      <c r="X28" s="37" t="str">
        <f>IF(OR(COUNTBLANK(A_Entry_Forecast[[#This Row],[REV_FY]])&lt;&gt;0,COUNTBLANK(A_Entry_Forecast[[#This Row],[REV_FY+1]])&lt;&gt;0),"N","Y")</f>
        <v>N</v>
      </c>
      <c r="Y28" s="64"/>
      <c r="Z28" s="64"/>
      <c r="AA28" s="64"/>
      <c r="AB28" s="64"/>
      <c r="AC28" s="64"/>
      <c r="AD28" s="64"/>
      <c r="AE28" s="47">
        <f>VLOOKUP(A_Entry_Forecast[[#This Row],[Ticker]],[1]!A_Entry_Data[#Data],2,FALSE)</f>
        <v>14000</v>
      </c>
      <c r="AF28" s="40" t="str">
        <f>IF(A_Entry_Forecast[[#This Row],[Target Price]]&lt;&gt;0,A_Entry_Forecast[[#This Row],[Target Price]]/AE28-1,"")</f>
        <v/>
      </c>
      <c r="AH28" s="1" t="s">
        <v>76</v>
      </c>
      <c r="AI28" s="67">
        <v>102668.90243941599</v>
      </c>
      <c r="AJ28" s="67">
        <v>576.72852537100005</v>
      </c>
      <c r="AK28" s="67">
        <v>455</v>
      </c>
      <c r="AL28" s="67">
        <v>10026.120000000001</v>
      </c>
      <c r="AM28" s="8">
        <v>1.7100000000000001E-2</v>
      </c>
      <c r="AN28" s="8">
        <v>6.0999999999999999E-2</v>
      </c>
    </row>
    <row r="29" spans="2:40" x14ac:dyDescent="0.2">
      <c r="B29" s="49" t="s">
        <v>71</v>
      </c>
      <c r="C29" s="50" t="s">
        <v>77</v>
      </c>
      <c r="D29" s="51" t="s">
        <v>48</v>
      </c>
      <c r="E29" s="52">
        <v>39900</v>
      </c>
      <c r="F29" s="56">
        <v>4540</v>
      </c>
      <c r="G29" s="61">
        <v>4637</v>
      </c>
      <c r="H29" s="61"/>
      <c r="I29" s="62">
        <v>811</v>
      </c>
      <c r="J29" s="62">
        <v>1003</v>
      </c>
      <c r="K29" s="62"/>
      <c r="L29" s="63">
        <v>756</v>
      </c>
      <c r="M29" s="63">
        <v>935</v>
      </c>
      <c r="N29" s="63"/>
      <c r="O29" s="63">
        <v>18054</v>
      </c>
      <c r="P29" s="63">
        <v>19095</v>
      </c>
      <c r="Q29" s="63"/>
      <c r="R29" s="57">
        <v>4.2000000000000003E-2</v>
      </c>
      <c r="S29" s="57">
        <v>3.4000000000000002E-2</v>
      </c>
      <c r="T29" s="57"/>
      <c r="U29" s="57">
        <v>6.7000000000000004E-2</v>
      </c>
      <c r="V29" s="57">
        <v>5.8000000000000003E-2</v>
      </c>
      <c r="W29" s="57"/>
      <c r="X29" s="37" t="str">
        <f>IF(OR(COUNTBLANK(A_Entry_Forecast[[#This Row],[REV_FY]])&lt;&gt;0,COUNTBLANK(A_Entry_Forecast[[#This Row],[REV_FY+1]])&lt;&gt;0),"N","Y")</f>
        <v>Y</v>
      </c>
      <c r="Y29" s="64"/>
      <c r="Z29" s="64"/>
      <c r="AA29" s="64"/>
      <c r="AB29" s="64"/>
      <c r="AC29" s="64"/>
      <c r="AD29" s="64"/>
      <c r="AE29" s="47">
        <f>VLOOKUP(A_Entry_Forecast[[#This Row],[Ticker]],[1]!A_Entry_Data[#Data],2,FALSE)</f>
        <v>34200</v>
      </c>
      <c r="AF29" s="40">
        <f>IF(A_Entry_Forecast[[#This Row],[Target Price]]&lt;&gt;0,A_Entry_Forecast[[#This Row],[Target Price]]/AE29-1,"")</f>
        <v>0.16666666666666674</v>
      </c>
      <c r="AH29" s="1" t="s">
        <v>78</v>
      </c>
      <c r="AI29" s="7">
        <v>7960.6536976730004</v>
      </c>
      <c r="AJ29" s="7">
        <v>107.738519834</v>
      </c>
      <c r="AK29" s="7">
        <v>1333</v>
      </c>
      <c r="AL29" s="7">
        <v>16328.88</v>
      </c>
      <c r="AM29" s="8">
        <v>2.4299999999999999E-2</v>
      </c>
      <c r="AN29" s="8">
        <v>8.4599999999999995E-2</v>
      </c>
    </row>
    <row r="30" spans="2:40" x14ac:dyDescent="0.2">
      <c r="B30" s="49" t="s">
        <v>71</v>
      </c>
      <c r="C30" s="50" t="s">
        <v>79</v>
      </c>
      <c r="D30" s="51" t="s">
        <v>48</v>
      </c>
      <c r="E30" s="52">
        <v>44400</v>
      </c>
      <c r="F30" s="56">
        <v>7061</v>
      </c>
      <c r="G30" s="61">
        <v>8518</v>
      </c>
      <c r="H30" s="61"/>
      <c r="I30" s="62">
        <v>634</v>
      </c>
      <c r="J30" s="62">
        <v>1200</v>
      </c>
      <c r="K30" s="62"/>
      <c r="L30" s="63">
        <v>1580</v>
      </c>
      <c r="M30" s="63">
        <v>2991</v>
      </c>
      <c r="N30" s="63"/>
      <c r="O30" s="63">
        <v>26730</v>
      </c>
      <c r="P30" s="63">
        <v>29846</v>
      </c>
      <c r="Q30" s="63"/>
      <c r="R30" s="57">
        <v>3.6999999999999998E-2</v>
      </c>
      <c r="S30" s="57">
        <v>4.9000000000000002E-2</v>
      </c>
      <c r="T30" s="57"/>
      <c r="U30" s="57">
        <v>6.9000000000000006E-2</v>
      </c>
      <c r="V30" s="57">
        <v>0.10100000000000001</v>
      </c>
      <c r="W30" s="57"/>
      <c r="X30" s="37" t="str">
        <f>IF(OR(COUNTBLANK(A_Entry_Forecast[[#This Row],[REV_FY]])&lt;&gt;0,COUNTBLANK(A_Entry_Forecast[[#This Row],[REV_FY+1]])&lt;&gt;0),"N","Y")</f>
        <v>Y</v>
      </c>
      <c r="Y30" s="64"/>
      <c r="Z30" s="64"/>
      <c r="AA30" s="64"/>
      <c r="AB30" s="64"/>
      <c r="AC30" s="64"/>
      <c r="AD30" s="64"/>
      <c r="AE30" s="47">
        <f>VLOOKUP(A_Entry_Forecast[[#This Row],[Ticker]],[1]!A_Entry_Data[#Data],2,FALSE)</f>
        <v>43550</v>
      </c>
      <c r="AF30" s="40">
        <f>IF(A_Entry_Forecast[[#This Row],[Target Price]]&lt;&gt;0,A_Entry_Forecast[[#This Row],[Target Price]]/AE30-1,"")</f>
        <v>1.9517795637198576E-2</v>
      </c>
      <c r="AH30" s="1" t="s">
        <v>80</v>
      </c>
      <c r="AI30" s="7">
        <v>274252.67241578002</v>
      </c>
      <c r="AJ30" s="7">
        <v>2811.979565486</v>
      </c>
      <c r="AK30" s="7">
        <v>2111</v>
      </c>
      <c r="AL30" s="7">
        <v>20036.580000000002</v>
      </c>
      <c r="AM30" s="8">
        <v>3.6700000000000003E-2</v>
      </c>
      <c r="AN30" s="8">
        <v>0.1211</v>
      </c>
    </row>
    <row r="31" spans="2:40" x14ac:dyDescent="0.2">
      <c r="B31" s="49" t="s">
        <v>71</v>
      </c>
      <c r="C31" s="50" t="s">
        <v>81</v>
      </c>
      <c r="D31" s="51" t="s">
        <v>48</v>
      </c>
      <c r="E31" s="52">
        <v>23600</v>
      </c>
      <c r="F31" s="56">
        <v>4474</v>
      </c>
      <c r="G31" s="61">
        <v>6101</v>
      </c>
      <c r="H31" s="61"/>
      <c r="I31" s="62">
        <v>641</v>
      </c>
      <c r="J31" s="62">
        <v>1410</v>
      </c>
      <c r="K31" s="62"/>
      <c r="L31" s="63">
        <v>716</v>
      </c>
      <c r="M31" s="63">
        <v>1574</v>
      </c>
      <c r="N31" s="63"/>
      <c r="O31" s="63">
        <v>13751</v>
      </c>
      <c r="P31" s="63">
        <v>15366</v>
      </c>
      <c r="Q31" s="63"/>
      <c r="R31" s="57">
        <v>3.3000000000000002E-2</v>
      </c>
      <c r="S31" s="57">
        <v>6.6000000000000003E-2</v>
      </c>
      <c r="T31" s="57"/>
      <c r="U31" s="57">
        <v>6.8000000000000005E-2</v>
      </c>
      <c r="V31" s="57">
        <v>0.13600000000000001</v>
      </c>
      <c r="W31" s="57"/>
      <c r="X31" s="37" t="str">
        <f>IF(OR(COUNTBLANK(A_Entry_Forecast[[#This Row],[REV_FY]])&lt;&gt;0,COUNTBLANK(A_Entry_Forecast[[#This Row],[REV_FY+1]])&lt;&gt;0),"N","Y")</f>
        <v>Y</v>
      </c>
      <c r="Y31" s="64"/>
      <c r="Z31" s="64"/>
      <c r="AA31" s="64"/>
      <c r="AB31" s="64"/>
      <c r="AC31" s="64"/>
      <c r="AD31" s="64"/>
      <c r="AE31" s="47">
        <f>VLOOKUP(A_Entry_Forecast[[#This Row],[Ticker]],[1]!A_Entry_Data[#Data],2,FALSE)</f>
        <v>23900</v>
      </c>
      <c r="AF31" s="40">
        <f>IF(A_Entry_Forecast[[#This Row],[Target Price]]&lt;&gt;0,A_Entry_Forecast[[#This Row],[Target Price]]/AE31-1,"")</f>
        <v>-1.2552301255230103E-2</v>
      </c>
      <c r="AH31" s="1" t="s">
        <v>82</v>
      </c>
      <c r="AI31" s="7">
        <v>5811.6851856180001</v>
      </c>
      <c r="AJ31" s="7">
        <v>579.35605213199995</v>
      </c>
      <c r="AK31" s="7">
        <v>803</v>
      </c>
      <c r="AL31" s="7">
        <v>26347.14</v>
      </c>
      <c r="AM31" s="8">
        <v>2.7400000000000001E-2</v>
      </c>
      <c r="AN31" s="8">
        <v>3.7900000000000003E-2</v>
      </c>
    </row>
    <row r="32" spans="2:40" ht="13.5" customHeight="1" x14ac:dyDescent="0.2">
      <c r="B32" s="49" t="s">
        <v>71</v>
      </c>
      <c r="C32" s="50" t="s">
        <v>83</v>
      </c>
      <c r="D32" s="51" t="s">
        <v>48</v>
      </c>
      <c r="E32" s="52">
        <v>92500</v>
      </c>
      <c r="F32" s="56">
        <v>125810</v>
      </c>
      <c r="G32" s="61">
        <v>115136</v>
      </c>
      <c r="H32" s="61"/>
      <c r="I32" s="62">
        <v>36602</v>
      </c>
      <c r="J32" s="62">
        <v>39843</v>
      </c>
      <c r="K32" s="62"/>
      <c r="L32" s="63">
        <v>8893</v>
      </c>
      <c r="M32" s="63">
        <v>9681</v>
      </c>
      <c r="N32" s="63"/>
      <c r="O32" s="63">
        <v>57975</v>
      </c>
      <c r="P32" s="63">
        <v>67675</v>
      </c>
      <c r="Q32" s="63"/>
      <c r="R32" s="57">
        <v>5.8999999999999997E-2</v>
      </c>
      <c r="S32" s="57">
        <v>4.8000000000000001E-2</v>
      </c>
      <c r="T32" s="57"/>
      <c r="U32" s="57">
        <v>0.14299999999999999</v>
      </c>
      <c r="V32" s="57">
        <v>0.13700000000000001</v>
      </c>
      <c r="W32" s="57"/>
      <c r="X32" s="37" t="str">
        <f>IF(OR(COUNTBLANK(A_Entry_Forecast[[#This Row],[REV_FY]])&lt;&gt;0,COUNTBLANK(A_Entry_Forecast[[#This Row],[REV_FY+1]])&lt;&gt;0),"N","Y")</f>
        <v>Y</v>
      </c>
      <c r="Y32" s="64"/>
      <c r="Z32" s="64"/>
      <c r="AA32" s="64"/>
      <c r="AB32" s="64"/>
      <c r="AC32" s="64"/>
      <c r="AD32" s="64"/>
      <c r="AE32" s="47">
        <f>VLOOKUP(A_Entry_Forecast[[#This Row],[Ticker]],[1]!A_Entry_Data[#Data],2,FALSE)</f>
        <v>93000</v>
      </c>
      <c r="AF32" s="40">
        <f>IF(A_Entry_Forecast[[#This Row],[Target Price]]&lt;&gt;0,A_Entry_Forecast[[#This Row],[Target Price]]/AE32-1,"")</f>
        <v>-5.3763440860215006E-3</v>
      </c>
      <c r="AH32" s="1" t="s">
        <v>84</v>
      </c>
      <c r="AI32" s="7">
        <v>19349.375525323001</v>
      </c>
      <c r="AJ32" s="7">
        <v>866.11733494700002</v>
      </c>
      <c r="AK32" s="7">
        <v>0</v>
      </c>
      <c r="AL32" s="7">
        <v>26516.39</v>
      </c>
      <c r="AM32" s="8">
        <v>3.32E-2</v>
      </c>
      <c r="AN32" s="8">
        <v>7.2300000000000003E-2</v>
      </c>
    </row>
    <row r="33" spans="2:40" ht="13.5" customHeight="1" x14ac:dyDescent="0.2">
      <c r="B33" s="49" t="s">
        <v>71</v>
      </c>
      <c r="C33" s="50" t="s">
        <v>85</v>
      </c>
      <c r="D33" s="51" t="s">
        <v>48</v>
      </c>
      <c r="E33" s="52">
        <v>31500</v>
      </c>
      <c r="F33" s="56">
        <v>9218.1677751170118</v>
      </c>
      <c r="G33" s="61">
        <v>10941</v>
      </c>
      <c r="H33" s="61"/>
      <c r="I33" s="62">
        <v>4413</v>
      </c>
      <c r="J33" s="62">
        <v>5355</v>
      </c>
      <c r="K33" s="62"/>
      <c r="L33" s="63">
        <v>1895</v>
      </c>
      <c r="M33" s="63">
        <v>2299</v>
      </c>
      <c r="N33" s="63"/>
      <c r="O33" s="63">
        <v>19897</v>
      </c>
      <c r="P33" s="63">
        <v>22196</v>
      </c>
      <c r="Q33" s="63"/>
      <c r="R33" s="57">
        <v>7.5999999999999998E-2</v>
      </c>
      <c r="S33" s="57">
        <v>8.7999999999999995E-2</v>
      </c>
      <c r="T33" s="57"/>
      <c r="U33" s="57">
        <v>9.5000000000000001E-2</v>
      </c>
      <c r="V33" s="57">
        <v>0.104</v>
      </c>
      <c r="W33" s="57"/>
      <c r="X33" s="37" t="str">
        <f>IF(OR(COUNTBLANK(A_Entry_Forecast[[#This Row],[REV_FY]])&lt;&gt;0,COUNTBLANK(A_Entry_Forecast[[#This Row],[REV_FY+1]])&lt;&gt;0),"N","Y")</f>
        <v>Y</v>
      </c>
      <c r="Y33" s="64"/>
      <c r="Z33" s="64"/>
      <c r="AA33" s="64"/>
      <c r="AB33" s="64"/>
      <c r="AC33" s="64"/>
      <c r="AD33" s="64"/>
      <c r="AE33" s="47">
        <f>VLOOKUP(A_Entry_Forecast[[#This Row],[Ticker]],[1]!A_Entry_Data[#Data],2,FALSE)</f>
        <v>29450</v>
      </c>
      <c r="AF33" s="40">
        <f>IF(A_Entry_Forecast[[#This Row],[Target Price]]&lt;&gt;0,A_Entry_Forecast[[#This Row],[Target Price]]/AE33-1,"")</f>
        <v>6.9609507640068014E-2</v>
      </c>
    </row>
    <row r="34" spans="2:40" x14ac:dyDescent="0.2">
      <c r="B34" s="49" t="s">
        <v>71</v>
      </c>
      <c r="C34" s="50" t="s">
        <v>86</v>
      </c>
      <c r="D34" s="51" t="s">
        <v>48</v>
      </c>
      <c r="E34" s="52">
        <v>53000</v>
      </c>
      <c r="F34" s="56">
        <v>4596</v>
      </c>
      <c r="G34" s="61">
        <v>5253</v>
      </c>
      <c r="H34" s="61"/>
      <c r="I34" s="62">
        <v>270</v>
      </c>
      <c r="J34" s="62">
        <v>376</v>
      </c>
      <c r="K34" s="62"/>
      <c r="L34" s="63">
        <v>4263</v>
      </c>
      <c r="M34" s="63">
        <v>5926</v>
      </c>
      <c r="N34" s="63"/>
      <c r="O34" s="63">
        <v>34618</v>
      </c>
      <c r="P34" s="63">
        <v>39580</v>
      </c>
      <c r="Q34" s="63"/>
      <c r="R34" s="57">
        <v>4.7E-2</v>
      </c>
      <c r="S34" s="57">
        <v>5.8999999999999997E-2</v>
      </c>
      <c r="T34" s="57"/>
      <c r="U34" s="57">
        <v>0.122</v>
      </c>
      <c r="V34" s="57">
        <v>1.4330000000000001</v>
      </c>
      <c r="W34" s="57"/>
      <c r="X34" s="37" t="str">
        <f>IF(OR(COUNTBLANK(A_Entry_Forecast[[#This Row],[REV_FY]])&lt;&gt;0,COUNTBLANK(A_Entry_Forecast[[#This Row],[REV_FY+1]])&lt;&gt;0),"N","Y")</f>
        <v>Y</v>
      </c>
      <c r="Y34" s="68"/>
      <c r="Z34" s="68"/>
      <c r="AA34" s="68"/>
      <c r="AB34" s="68"/>
      <c r="AC34" s="68"/>
      <c r="AD34" s="68"/>
      <c r="AE34" s="47">
        <f>VLOOKUP(A_Entry_Forecast[[#This Row],[Ticker]],[1]!A_Entry_Data[#Data],2,FALSE)</f>
        <v>47800</v>
      </c>
      <c r="AF34" s="40">
        <f>IF(A_Entry_Forecast[[#This Row],[Target Price]]&lt;&gt;0,A_Entry_Forecast[[#This Row],[Target Price]]/AE34-1,"")</f>
        <v>0.10878661087866104</v>
      </c>
      <c r="AH34" s="1" t="s">
        <v>87</v>
      </c>
      <c r="AI34" s="7">
        <v>89953.906513324997</v>
      </c>
      <c r="AJ34" s="7">
        <v>11606.030646959</v>
      </c>
      <c r="AK34" s="7">
        <v>4972</v>
      </c>
      <c r="AL34" s="7">
        <v>27886.799999999999</v>
      </c>
      <c r="AM34" s="8">
        <v>0.13619999999999999</v>
      </c>
      <c r="AN34" s="8">
        <v>0.19040000000000001</v>
      </c>
    </row>
    <row r="35" spans="2:40" x14ac:dyDescent="0.2">
      <c r="B35" s="49" t="s">
        <v>71</v>
      </c>
      <c r="C35" s="51" t="s">
        <v>88</v>
      </c>
      <c r="D35" s="51" t="s">
        <v>60</v>
      </c>
      <c r="E35" s="61"/>
      <c r="F35" s="61"/>
      <c r="G35" s="61">
        <f ca="1">A_Entry_Forecast[[#This Row],[REV_FY+1]]*1.03</f>
        <v>0</v>
      </c>
      <c r="H35" s="61"/>
      <c r="I35" s="61">
        <f ca="1">A_Entry_Forecast[[#This Row],[NPATMI_FY]]*1.09</f>
        <v>0</v>
      </c>
      <c r="J35" s="61">
        <f ca="1">A_Entry_Forecast[[#This Row],[NPATMI_FY+1]]*1.15</f>
        <v>0</v>
      </c>
      <c r="K35" s="61"/>
      <c r="L35" s="61">
        <v>899</v>
      </c>
      <c r="M35" s="61"/>
      <c r="N35" s="61"/>
      <c r="O35" s="61">
        <v>14974</v>
      </c>
      <c r="P35" s="61"/>
      <c r="Q35" s="61"/>
      <c r="R35" s="57">
        <v>4.0399999999999998E-2</v>
      </c>
      <c r="S35" s="58"/>
      <c r="T35" s="58"/>
      <c r="U35" s="57">
        <v>5.5899999999999998E-2</v>
      </c>
      <c r="V35" s="58"/>
      <c r="W35" s="58"/>
      <c r="X35" s="69" t="str">
        <f ca="1">IF(OR(COUNTBLANK(A_Entry_Forecast[[#This Row],[REV_FY]])&lt;&gt;0,COUNTBLANK(A_Entry_Forecast[[#This Row],[REV_FY+1]])&lt;&gt;0),"N","Y")</f>
        <v>N</v>
      </c>
      <c r="Y35" s="52"/>
      <c r="Z35" s="59"/>
      <c r="AA35" s="59"/>
      <c r="AB35" s="52"/>
      <c r="AC35" s="59"/>
      <c r="AD35" s="59"/>
      <c r="AE35" s="47">
        <f>VLOOKUP(A_Entry_Forecast[[#This Row],[Ticker]],[1]!A_Entry_Data[#Data],2,FALSE)</f>
        <v>32450</v>
      </c>
      <c r="AF35" s="40" t="str">
        <f>IF(A_Entry_Forecast[[#This Row],[Target Price]]&lt;&gt;0,A_Entry_Forecast[[#This Row],[Target Price]]/AE35-1,"")</f>
        <v/>
      </c>
      <c r="AG35" s="70"/>
      <c r="AH35" s="1" t="s">
        <v>74</v>
      </c>
      <c r="AI35" s="7">
        <v>1493.7131680709999</v>
      </c>
      <c r="AJ35" s="7">
        <v>395.03852798000003</v>
      </c>
      <c r="AK35" s="7">
        <v>1489</v>
      </c>
      <c r="AL35" s="7">
        <v>15184.08</v>
      </c>
      <c r="AM35" s="8">
        <v>6.1199999999999997E-2</v>
      </c>
      <c r="AN35" s="8">
        <v>0.10340000000000001</v>
      </c>
    </row>
    <row r="36" spans="2:40" x14ac:dyDescent="0.2">
      <c r="B36" s="49" t="s">
        <v>71</v>
      </c>
      <c r="C36" s="51" t="s">
        <v>89</v>
      </c>
      <c r="D36" s="51" t="s">
        <v>60</v>
      </c>
      <c r="E36" s="61">
        <v>65300</v>
      </c>
      <c r="F36" s="61">
        <v>7351.7871247515995</v>
      </c>
      <c r="G36" s="61">
        <v>7572.3407384941484</v>
      </c>
      <c r="H36" s="61"/>
      <c r="I36" s="61">
        <v>1652.9809645579228</v>
      </c>
      <c r="J36" s="61">
        <v>1891.729750776145</v>
      </c>
      <c r="K36" s="61"/>
      <c r="L36" s="61">
        <v>5009.0332259330999</v>
      </c>
      <c r="M36" s="61">
        <v>5732.514396291348</v>
      </c>
      <c r="N36" s="61"/>
      <c r="O36" s="61">
        <v>27766.101902659026</v>
      </c>
      <c r="P36" s="61">
        <v>33498.616298950357</v>
      </c>
      <c r="Q36" s="61"/>
      <c r="R36" s="57">
        <v>8.024259491955979E-2</v>
      </c>
      <c r="S36" s="58">
        <v>8.0295060074481381E-2</v>
      </c>
      <c r="T36" s="58"/>
      <c r="U36" s="57">
        <v>0.15980789948329971</v>
      </c>
      <c r="V36" s="58">
        <v>0.15461271195607657</v>
      </c>
      <c r="W36" s="58"/>
      <c r="X36" s="69" t="str">
        <f>IF(OR(COUNTBLANK(A_Entry_Forecast[[#This Row],[REV_FY]])&lt;&gt;0,COUNTBLANK(A_Entry_Forecast[[#This Row],[REV_FY+1]])&lt;&gt;0),"N","Y")</f>
        <v>Y</v>
      </c>
      <c r="Y36" s="52"/>
      <c r="Z36" s="59"/>
      <c r="AA36" s="59"/>
      <c r="AB36" s="52"/>
      <c r="AC36" s="59"/>
      <c r="AD36" s="59"/>
      <c r="AE36" s="47">
        <f>VLOOKUP(A_Entry_Forecast[[#This Row],[Ticker]],[1]!A_Entry_Data[#Data],2,FALSE)</f>
        <v>49500</v>
      </c>
      <c r="AF36" s="40">
        <f>IF(A_Entry_Forecast[[#This Row],[Target Price]]&lt;&gt;0,A_Entry_Forecast[[#This Row],[Target Price]]/AE36-1,"")</f>
        <v>0.31919191919191925</v>
      </c>
      <c r="AH36" s="1" t="s">
        <v>72</v>
      </c>
      <c r="AI36" s="7">
        <v>3705.9585529689998</v>
      </c>
      <c r="AJ36" s="7">
        <v>176.333033908</v>
      </c>
      <c r="AK36" s="7">
        <v>289</v>
      </c>
      <c r="AL36" s="7">
        <v>15377.3</v>
      </c>
      <c r="AM36" s="8">
        <v>6.0000000000000001E-3</v>
      </c>
      <c r="AN36" s="8">
        <v>1.66E-2</v>
      </c>
    </row>
    <row r="37" spans="2:40" x14ac:dyDescent="0.2">
      <c r="B37" s="49" t="s">
        <v>71</v>
      </c>
      <c r="C37" s="51" t="s">
        <v>90</v>
      </c>
      <c r="D37" s="51" t="s">
        <v>75</v>
      </c>
      <c r="E37" s="61">
        <v>47300</v>
      </c>
      <c r="F37" s="61">
        <v>622</v>
      </c>
      <c r="G37" s="61"/>
      <c r="H37" s="61"/>
      <c r="I37" s="61">
        <v>260</v>
      </c>
      <c r="J37" s="61"/>
      <c r="K37" s="61"/>
      <c r="L37" s="61">
        <v>5194</v>
      </c>
      <c r="M37" s="61"/>
      <c r="N37" s="61"/>
      <c r="O37" s="61">
        <v>37432</v>
      </c>
      <c r="P37" s="61"/>
      <c r="Q37" s="61"/>
      <c r="R37" s="57">
        <v>7.6700000000000004E-2</v>
      </c>
      <c r="S37" s="58"/>
      <c r="T37" s="58"/>
      <c r="U37" s="57">
        <v>0.13880000000000001</v>
      </c>
      <c r="V37" s="58"/>
      <c r="W37" s="58"/>
      <c r="X37" s="69" t="str">
        <f>IF(OR(COUNTBLANK(A_Entry_Forecast[[#This Row],[REV_FY]])&lt;&gt;0,COUNTBLANK(A_Entry_Forecast[[#This Row],[REV_FY+1]])&lt;&gt;0),"N","Y")</f>
        <v>N</v>
      </c>
      <c r="Y37" s="52"/>
      <c r="Z37" s="59"/>
      <c r="AA37" s="59"/>
      <c r="AB37" s="52"/>
      <c r="AC37" s="59"/>
      <c r="AD37" s="59"/>
      <c r="AE37" s="47">
        <f>VLOOKUP(A_Entry_Forecast[[#This Row],[Ticker]],[1]!A_Entry_Data[#Data],2,FALSE)</f>
        <v>33350</v>
      </c>
      <c r="AF37" s="40">
        <f>IF(A_Entry_Forecast[[#This Row],[Target Price]]&lt;&gt;0,A_Entry_Forecast[[#This Row],[Target Price]]/AE37-1,"")</f>
        <v>0.41829085457271353</v>
      </c>
      <c r="AH37" s="1" t="s">
        <v>91</v>
      </c>
      <c r="AI37" s="7">
        <v>4758.9017727809996</v>
      </c>
      <c r="AJ37" s="7">
        <v>804.99022738999997</v>
      </c>
      <c r="AK37" s="7">
        <v>413</v>
      </c>
      <c r="AL37" s="7">
        <v>19612.419999999998</v>
      </c>
      <c r="AM37" s="8">
        <v>3.2000000000000002E-3</v>
      </c>
      <c r="AN37" s="8">
        <v>1.8100000000000002E-2</v>
      </c>
    </row>
    <row r="38" spans="2:40" x14ac:dyDescent="0.2">
      <c r="B38" s="49" t="s">
        <v>71</v>
      </c>
      <c r="C38" s="51" t="s">
        <v>92</v>
      </c>
      <c r="D38" s="51" t="s">
        <v>60</v>
      </c>
      <c r="E38" s="61">
        <v>64800</v>
      </c>
      <c r="F38" s="71">
        <v>1645.8421836797606</v>
      </c>
      <c r="G38" s="71">
        <v>1834.8719088742237</v>
      </c>
      <c r="H38" s="71"/>
      <c r="I38" s="71">
        <v>540.41102370466456</v>
      </c>
      <c r="J38" s="71">
        <v>576.01554373305305</v>
      </c>
      <c r="K38" s="71"/>
      <c r="L38" s="71">
        <v>3988.2968436806882</v>
      </c>
      <c r="M38" s="71">
        <v>4251.0623843917738</v>
      </c>
      <c r="N38" s="71"/>
      <c r="O38" s="71">
        <v>27756.871877131391</v>
      </c>
      <c r="P38" s="71">
        <v>29007.934261523162</v>
      </c>
      <c r="Q38" s="71"/>
      <c r="R38" s="72">
        <v>7.8655499833181985E-2</v>
      </c>
      <c r="S38" s="72">
        <v>8.6016352394840859E-2</v>
      </c>
      <c r="T38" s="72"/>
      <c r="U38" s="72">
        <v>0.13753906660146478</v>
      </c>
      <c r="V38" s="72">
        <v>0.14053740476325713</v>
      </c>
      <c r="W38" s="72"/>
      <c r="X38" s="69" t="str">
        <f>IF(OR(COUNTBLANK(A_Entry_Forecast[[#This Row],[REV_FY]])&lt;&gt;0,COUNTBLANK(A_Entry_Forecast[[#This Row],[REV_FY+1]])&lt;&gt;0),"N","Y")</f>
        <v>Y</v>
      </c>
      <c r="Y38" s="52"/>
      <c r="Z38" s="59"/>
      <c r="AA38" s="59"/>
      <c r="AB38" s="52"/>
      <c r="AC38" s="59"/>
      <c r="AD38" s="59"/>
      <c r="AE38" s="47">
        <f>VLOOKUP(A_Entry_Forecast[[#This Row],[Ticker]],[1]!A_Entry_Data[#Data],2,FALSE)</f>
        <v>62800</v>
      </c>
      <c r="AF38" s="40">
        <f>IF(A_Entry_Forecast[[#This Row],[Target Price]]&lt;&gt;0,A_Entry_Forecast[[#This Row],[Target Price]]/AE38-1,"")</f>
        <v>3.1847133757961776E-2</v>
      </c>
      <c r="AH38" s="1" t="s">
        <v>77</v>
      </c>
      <c r="AI38" s="7">
        <v>2093.493911</v>
      </c>
      <c r="AJ38" s="7">
        <v>716.89414399999998</v>
      </c>
      <c r="AK38" s="7">
        <v>840</v>
      </c>
      <c r="AL38" s="7">
        <v>16829.5</v>
      </c>
      <c r="AM38" s="8">
        <v>2.9899999999999999E-2</v>
      </c>
      <c r="AN38" s="8">
        <v>5.8400000000000001E-2</v>
      </c>
    </row>
    <row r="39" spans="2:40" x14ac:dyDescent="0.2">
      <c r="B39" s="49" t="s">
        <v>71</v>
      </c>
      <c r="C39" s="51" t="s">
        <v>93</v>
      </c>
      <c r="D39" s="51" t="s">
        <v>48</v>
      </c>
      <c r="E39" s="61">
        <v>45000</v>
      </c>
      <c r="F39" s="71">
        <v>1670.267642211765</v>
      </c>
      <c r="G39" s="71">
        <v>1743.6865743087064</v>
      </c>
      <c r="H39" s="71"/>
      <c r="I39" s="71">
        <v>661.77403241308718</v>
      </c>
      <c r="J39" s="71">
        <v>759.69736029001979</v>
      </c>
      <c r="K39" s="71"/>
      <c r="L39" s="71">
        <v>3676.5228107974631</v>
      </c>
      <c r="M39" s="71">
        <v>4220.5413594491501</v>
      </c>
      <c r="N39" s="71"/>
      <c r="O39" s="71">
        <v>22650.294967594775</v>
      </c>
      <c r="P39" s="71">
        <v>26870.836327043929</v>
      </c>
      <c r="Q39" s="71"/>
      <c r="R39" s="72">
        <v>6.4412270222108686E-2</v>
      </c>
      <c r="S39" s="72">
        <v>6.8991767059924547E-2</v>
      </c>
      <c r="T39" s="72"/>
      <c r="U39" s="72">
        <v>0.16231677406662362</v>
      </c>
      <c r="V39" s="72">
        <v>0.15706773351157</v>
      </c>
      <c r="W39" s="72"/>
      <c r="X39" s="69" t="str">
        <f>IF(OR(COUNTBLANK(A_Entry_Forecast[[#This Row],[REV_FY]])&lt;&gt;0,COUNTBLANK(A_Entry_Forecast[[#This Row],[REV_FY+1]])&lt;&gt;0),"N","Y")</f>
        <v>Y</v>
      </c>
      <c r="Y39" s="52"/>
      <c r="Z39" s="59"/>
      <c r="AA39" s="59"/>
      <c r="AB39" s="52"/>
      <c r="AC39" s="59"/>
      <c r="AD39" s="59"/>
      <c r="AE39" s="47">
        <f>VLOOKUP(A_Entry_Forecast[[#This Row],[Ticker]],[1]!A_Entry_Data[#Data],2,FALSE)</f>
        <v>38100</v>
      </c>
      <c r="AF39" s="40">
        <f>IF(A_Entry_Forecast[[#This Row],[Target Price]]&lt;&gt;0,A_Entry_Forecast[[#This Row],[Target Price]]/AE39-1,"")</f>
        <v>0.18110236220472431</v>
      </c>
      <c r="AH39" s="1" t="s">
        <v>79</v>
      </c>
      <c r="AI39" s="7">
        <v>3181.4217907269999</v>
      </c>
      <c r="AJ39" s="7">
        <v>483.73640157300002</v>
      </c>
      <c r="AK39" s="7">
        <v>1185</v>
      </c>
      <c r="AL39" s="7">
        <v>24386.080000000002</v>
      </c>
      <c r="AM39" s="8">
        <v>1.7399999999999999E-2</v>
      </c>
      <c r="AN39" s="8">
        <v>8.7099999999999997E-2</v>
      </c>
    </row>
    <row r="40" spans="2:40" x14ac:dyDescent="0.2">
      <c r="B40" s="49" t="s">
        <v>71</v>
      </c>
      <c r="C40" s="51" t="s">
        <v>94</v>
      </c>
      <c r="D40" s="51" t="s">
        <v>75</v>
      </c>
      <c r="E40" s="61"/>
      <c r="F40" s="61">
        <v>7479.2022538636929</v>
      </c>
      <c r="G40" s="61">
        <v>7703.5783214796038</v>
      </c>
      <c r="H40" s="61"/>
      <c r="I40" s="61">
        <v>1324.4626752439585</v>
      </c>
      <c r="J40" s="61">
        <v>1348.1640300066001</v>
      </c>
      <c r="K40" s="61"/>
      <c r="L40" s="61">
        <v>14570.546482331776</v>
      </c>
      <c r="M40" s="61">
        <v>14831.287458818482</v>
      </c>
      <c r="N40" s="61"/>
      <c r="O40" s="61">
        <v>49349.294023971197</v>
      </c>
      <c r="P40" s="61">
        <v>55180.170987740166</v>
      </c>
      <c r="Q40" s="61"/>
      <c r="R40" s="57"/>
      <c r="S40" s="58"/>
      <c r="T40" s="58"/>
      <c r="U40" s="57"/>
      <c r="V40" s="58"/>
      <c r="W40" s="58"/>
      <c r="X40" s="69" t="str">
        <f>IF(OR(COUNTBLANK(A_Entry_Forecast[[#This Row],[REV_FY]])&lt;&gt;0,COUNTBLANK(A_Entry_Forecast[[#This Row],[REV_FY+1]])&lt;&gt;0),"N","Y")</f>
        <v>Y</v>
      </c>
      <c r="Y40" s="52"/>
      <c r="Z40" s="59"/>
      <c r="AA40" s="59"/>
      <c r="AB40" s="52"/>
      <c r="AC40" s="59"/>
      <c r="AD40" s="59"/>
      <c r="AE40" s="47">
        <f>VLOOKUP(A_Entry_Forecast[[#This Row],[Ticker]],[1]!A_Entry_Data[#Data],2,FALSE)</f>
        <v>66500</v>
      </c>
      <c r="AF40" s="40" t="str">
        <f>IF(A_Entry_Forecast[[#This Row],[Target Price]]&lt;&gt;0,A_Entry_Forecast[[#This Row],[Target Price]]/AE40-1,"")</f>
        <v/>
      </c>
      <c r="AH40" s="1" t="s">
        <v>83</v>
      </c>
      <c r="AI40" s="7">
        <v>103334.072</v>
      </c>
      <c r="AJ40" s="7">
        <v>33125.468999999997</v>
      </c>
      <c r="AK40" s="7">
        <v>7607</v>
      </c>
      <c r="AL40" s="7">
        <v>41116.18</v>
      </c>
      <c r="AM40" s="8">
        <v>8.1900000000000001E-2</v>
      </c>
      <c r="AN40" s="8">
        <v>0.20530000000000001</v>
      </c>
    </row>
    <row r="41" spans="2:40" x14ac:dyDescent="0.2">
      <c r="B41" s="49" t="s">
        <v>71</v>
      </c>
      <c r="C41" s="51" t="s">
        <v>95</v>
      </c>
      <c r="D41" s="51" t="s">
        <v>60</v>
      </c>
      <c r="E41" s="61">
        <v>49700</v>
      </c>
      <c r="F41" s="61">
        <v>1334.8684576561359</v>
      </c>
      <c r="G41" s="61">
        <v>1385.4156306257808</v>
      </c>
      <c r="H41" s="61"/>
      <c r="I41" s="61">
        <v>290.5857522201095</v>
      </c>
      <c r="J41" s="61">
        <v>317.98512398428994</v>
      </c>
      <c r="K41" s="61"/>
      <c r="L41" s="61">
        <v>3344.4511157469024</v>
      </c>
      <c r="M41" s="61">
        <v>3659.7998854899774</v>
      </c>
      <c r="N41" s="61"/>
      <c r="O41" s="61">
        <v>27521.623787918048</v>
      </c>
      <c r="P41" s="61">
        <v>28181.423673408033</v>
      </c>
      <c r="Q41" s="61"/>
      <c r="R41" s="57">
        <v>5.9594155731082933E-2</v>
      </c>
      <c r="S41" s="58">
        <v>5.6648538420028413E-2</v>
      </c>
      <c r="T41" s="58"/>
      <c r="U41" s="57">
        <v>9.3872925879694369E-2</v>
      </c>
      <c r="V41" s="58">
        <v>0.10085641355024512</v>
      </c>
      <c r="W41" s="58"/>
      <c r="X41" s="69" t="str">
        <f>IF(OR(COUNTBLANK(A_Entry_Forecast[[#This Row],[REV_FY]])&lt;&gt;0,COUNTBLANK(A_Entry_Forecast[[#This Row],[REV_FY+1]])&lt;&gt;0),"N","Y")</f>
        <v>Y</v>
      </c>
      <c r="Y41" s="52"/>
      <c r="Z41" s="59"/>
      <c r="AA41" s="59"/>
      <c r="AB41" s="52"/>
      <c r="AC41" s="59"/>
      <c r="AD41" s="59"/>
      <c r="AE41" s="47">
        <f>VLOOKUP(A_Entry_Forecast[[#This Row],[Ticker]],[1]!A_Entry_Data[#Data],2,FALSE)</f>
        <v>42000</v>
      </c>
      <c r="AF41" s="40">
        <f>IF(A_Entry_Forecast[[#This Row],[Target Price]]&lt;&gt;0,A_Entry_Forecast[[#This Row],[Target Price]]/AE41-1,"")</f>
        <v>0.18333333333333335</v>
      </c>
      <c r="AH41" s="1" t="s">
        <v>85</v>
      </c>
      <c r="AI41" s="7">
        <v>9791.3349999999991</v>
      </c>
      <c r="AJ41" s="7">
        <v>4408.6000000000004</v>
      </c>
      <c r="AK41" s="7">
        <v>0</v>
      </c>
      <c r="AL41" s="7">
        <v>16232.94</v>
      </c>
      <c r="AM41" s="8">
        <v>9.7600000000000006E-2</v>
      </c>
      <c r="AN41" s="8">
        <v>0.1239</v>
      </c>
    </row>
    <row r="42" spans="2:40" x14ac:dyDescent="0.2">
      <c r="B42" s="49" t="s">
        <v>71</v>
      </c>
      <c r="C42" s="51" t="s">
        <v>96</v>
      </c>
      <c r="D42" s="51" t="s">
        <v>75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57"/>
      <c r="S42" s="58"/>
      <c r="T42" s="58"/>
      <c r="U42" s="57"/>
      <c r="V42" s="58"/>
      <c r="W42" s="58"/>
      <c r="X42" s="69" t="str">
        <f>IF(OR(COUNTBLANK(A_Entry_Forecast[[#This Row],[REV_FY]])&lt;&gt;0,COUNTBLANK(A_Entry_Forecast[[#This Row],[REV_FY+1]])&lt;&gt;0),"N","Y")</f>
        <v>N</v>
      </c>
      <c r="Y42" s="52"/>
      <c r="Z42" s="59"/>
      <c r="AA42" s="59"/>
      <c r="AB42" s="52"/>
      <c r="AC42" s="59"/>
      <c r="AD42" s="59"/>
      <c r="AE42" s="47">
        <f>VLOOKUP(A_Entry_Forecast[[#This Row],[Ticker]],[1]!A_Entry_Data[#Data],2,FALSE)</f>
        <v>174100</v>
      </c>
      <c r="AF42" s="40" t="str">
        <f>IF(A_Entry_Forecast[[#This Row],[Target Price]]&lt;&gt;0,A_Entry_Forecast[[#This Row],[Target Price]]/AE42-1,"")</f>
        <v/>
      </c>
    </row>
    <row r="43" spans="2:40" x14ac:dyDescent="0.2">
      <c r="B43" s="49" t="s">
        <v>97</v>
      </c>
      <c r="C43" s="50" t="s">
        <v>98</v>
      </c>
      <c r="D43" s="51" t="s">
        <v>75</v>
      </c>
      <c r="E43" s="73">
        <v>35000</v>
      </c>
      <c r="F43" s="61">
        <v>5949.2775622157023</v>
      </c>
      <c r="G43" s="61">
        <v>14924.701261901178</v>
      </c>
      <c r="H43" s="61"/>
      <c r="I43" s="61">
        <v>1352.2906228889965</v>
      </c>
      <c r="J43" s="61">
        <v>5371.3018067428857</v>
      </c>
      <c r="K43" s="61"/>
      <c r="L43" s="61">
        <v>1761.7017182784252</v>
      </c>
      <c r="M43" s="61">
        <v>6997.4837229258064</v>
      </c>
      <c r="N43" s="61"/>
      <c r="O43" s="61">
        <v>29131.542122202631</v>
      </c>
      <c r="P43" s="61">
        <v>36867.485286740935</v>
      </c>
      <c r="Q43" s="61"/>
      <c r="R43" s="74">
        <v>3.4925544051563319E-2</v>
      </c>
      <c r="S43" s="58">
        <v>0.11364843637120982</v>
      </c>
      <c r="T43" s="58"/>
      <c r="U43" s="74">
        <v>6.0474028834050023E-2</v>
      </c>
      <c r="V43" s="58">
        <v>0.18980094976649761</v>
      </c>
      <c r="W43" s="58"/>
      <c r="X43" s="69" t="str">
        <f>IF(OR(COUNTBLANK(A_Entry_Forecast[[#This Row],[REV_FY]])&lt;&gt;0,COUNTBLANK(A_Entry_Forecast[[#This Row],[REV_FY+1]])&lt;&gt;0),"N","Y")</f>
        <v>Y</v>
      </c>
      <c r="Y43" s="75"/>
      <c r="Z43" s="59"/>
      <c r="AA43" s="59"/>
      <c r="AB43" s="75"/>
      <c r="AC43" s="59"/>
      <c r="AD43" s="59"/>
      <c r="AE43" s="47"/>
      <c r="AF43" s="40"/>
    </row>
    <row r="44" spans="2:40" x14ac:dyDescent="0.2">
      <c r="B44" s="41"/>
      <c r="C44" s="43" t="s">
        <v>80</v>
      </c>
      <c r="D44" s="43" t="s">
        <v>60</v>
      </c>
      <c r="E44" s="4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7"/>
      <c r="S44" s="78"/>
      <c r="T44" s="78"/>
      <c r="U44" s="77"/>
      <c r="V44" s="78"/>
      <c r="W44" s="78"/>
      <c r="X44" s="79" t="s">
        <v>99</v>
      </c>
      <c r="Y44" s="44"/>
      <c r="Z44" s="76"/>
      <c r="AA44" s="76"/>
      <c r="AB44" s="44"/>
      <c r="AC44" s="76"/>
      <c r="AD44" s="76"/>
      <c r="AE44" s="47">
        <f>VLOOKUP(A_Entry_Forecast[[#This Row],[Ticker]],[1]!A_Entry_Data[#Data],2,FALSE)</f>
        <v>38500</v>
      </c>
      <c r="AF44" s="40" t="str">
        <f>IF(A_Entry_Forecast[[#This Row],[Target Price]]&lt;&gt;0,A_Entry_Forecast[[#This Row],[Target Price]]/AE44-1,"")</f>
        <v/>
      </c>
      <c r="AH44" s="1" t="s">
        <v>100</v>
      </c>
      <c r="AI44" s="7">
        <v>12601.811747076001</v>
      </c>
      <c r="AJ44" s="7">
        <v>1107.087968668</v>
      </c>
      <c r="AK44" s="7">
        <v>1853</v>
      </c>
      <c r="AL44" s="7">
        <v>18824.330000000002</v>
      </c>
      <c r="AM44" s="8">
        <v>7.5200000000000003E-2</v>
      </c>
      <c r="AN44" s="8">
        <v>0.1079</v>
      </c>
    </row>
    <row r="45" spans="2:40" x14ac:dyDescent="0.2">
      <c r="B45" s="41"/>
      <c r="C45" s="43" t="s">
        <v>76</v>
      </c>
      <c r="D45" s="43" t="s">
        <v>60</v>
      </c>
      <c r="E45" s="4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7"/>
      <c r="S45" s="78"/>
      <c r="T45" s="78"/>
      <c r="U45" s="77"/>
      <c r="V45" s="78"/>
      <c r="W45" s="78"/>
      <c r="X45" s="37" t="s">
        <v>99</v>
      </c>
      <c r="Y45" s="44"/>
      <c r="Z45" s="76"/>
      <c r="AA45" s="76"/>
      <c r="AB45" s="44"/>
      <c r="AC45" s="76"/>
      <c r="AD45" s="76"/>
      <c r="AE45" s="47">
        <f>VLOOKUP(A_Entry_Forecast[[#This Row],[Ticker]],[1]!A_Entry_Data[#Data],2,FALSE)</f>
        <v>12600</v>
      </c>
      <c r="AF45" s="40" t="str">
        <f>IF(A_Entry_Forecast[[#This Row],[Target Price]]&lt;&gt;0,A_Entry_Forecast[[#This Row],[Target Price]]/AE45-1,"")</f>
        <v/>
      </c>
      <c r="AH45" s="1" t="s">
        <v>101</v>
      </c>
      <c r="AI45" s="7">
        <v>9747.9412642839998</v>
      </c>
      <c r="AJ45" s="7">
        <v>3108.753258838</v>
      </c>
      <c r="AK45" s="7">
        <v>7695</v>
      </c>
      <c r="AL45" s="7">
        <v>30531.18</v>
      </c>
      <c r="AM45" s="8">
        <v>0.2152</v>
      </c>
      <c r="AN45" s="8">
        <v>0.2949</v>
      </c>
    </row>
    <row r="46" spans="2:40" ht="15" x14ac:dyDescent="0.2">
      <c r="B46" s="41" t="s">
        <v>102</v>
      </c>
      <c r="C46" s="80" t="s">
        <v>78</v>
      </c>
      <c r="D46" s="43" t="s">
        <v>60</v>
      </c>
      <c r="E46" s="44"/>
      <c r="F46" s="76">
        <v>7261.0114690127275</v>
      </c>
      <c r="G46" s="76">
        <v>7392.4131101836292</v>
      </c>
      <c r="H46" s="76"/>
      <c r="I46" s="76">
        <v>118.53709546494017</v>
      </c>
      <c r="J46" s="76">
        <v>125.51367121773778</v>
      </c>
      <c r="K46" s="76"/>
      <c r="L46" s="76">
        <v>1445.9692936668284</v>
      </c>
      <c r="M46" s="76">
        <v>1552.5217912536023</v>
      </c>
      <c r="N46" s="76"/>
      <c r="O46" s="76">
        <v>14917.598723691988</v>
      </c>
      <c r="P46" s="76">
        <v>14470.120514945585</v>
      </c>
      <c r="Q46" s="76"/>
      <c r="R46" s="77">
        <v>2.3314332723710106E-2</v>
      </c>
      <c r="S46" s="78">
        <v>3.2362261586564037E-2</v>
      </c>
      <c r="T46" s="78"/>
      <c r="U46" s="77">
        <v>9.6930432333613703E-2</v>
      </c>
      <c r="V46" s="78">
        <v>0.10729155915806415</v>
      </c>
      <c r="W46" s="78"/>
      <c r="X46" s="37" t="s">
        <v>99</v>
      </c>
      <c r="Y46" s="44"/>
      <c r="Z46" s="76"/>
      <c r="AA46" s="76"/>
      <c r="AB46" s="44"/>
      <c r="AC46" s="76"/>
      <c r="AD46" s="76"/>
      <c r="AE46" s="47">
        <f>VLOOKUP(A_Entry_Forecast[[#This Row],[Ticker]],[1]!A_Entry_Data[#Data],2,FALSE)</f>
        <v>29100</v>
      </c>
      <c r="AF46" s="40" t="str">
        <f>IF(A_Entry_Forecast[[#This Row],[Target Price]]&lt;&gt;0,A_Entry_Forecast[[#This Row],[Target Price]]/AE46-1,"")</f>
        <v/>
      </c>
      <c r="AH46" s="1" t="s">
        <v>103</v>
      </c>
      <c r="AI46" s="7">
        <v>13569.185518411001</v>
      </c>
      <c r="AJ46" s="7">
        <v>532.67386365100003</v>
      </c>
      <c r="AK46" s="7">
        <v>1063</v>
      </c>
      <c r="AL46" s="7">
        <v>29084.34</v>
      </c>
      <c r="AM46" s="8">
        <v>3.4299999999999997E-2</v>
      </c>
      <c r="AN46" s="8">
        <v>4.3099999999999999E-2</v>
      </c>
    </row>
    <row r="47" spans="2:40" ht="15" x14ac:dyDescent="0.2">
      <c r="B47" s="41" t="s">
        <v>102</v>
      </c>
      <c r="C47" s="80" t="s">
        <v>101</v>
      </c>
      <c r="D47" s="43" t="s">
        <v>60</v>
      </c>
      <c r="E47" s="44">
        <v>109300</v>
      </c>
      <c r="F47" s="76">
        <v>10871.373932047447</v>
      </c>
      <c r="G47" s="76">
        <v>12202.870629013851</v>
      </c>
      <c r="H47" s="76"/>
      <c r="I47" s="76">
        <v>3488.3821931707207</v>
      </c>
      <c r="J47" s="76">
        <v>3865.0379510536109</v>
      </c>
      <c r="K47" s="76"/>
      <c r="L47" s="45">
        <v>9185.2881970258932</v>
      </c>
      <c r="M47" s="45">
        <v>10177.063609134309</v>
      </c>
      <c r="N47" s="45"/>
      <c r="O47" s="76">
        <v>42822.955417049554</v>
      </c>
      <c r="P47" s="76">
        <v>50645.07289894655</v>
      </c>
      <c r="Q47" s="76"/>
      <c r="R47" s="77">
        <v>0.21775575332844233</v>
      </c>
      <c r="S47" s="78">
        <v>0.20664110576931188</v>
      </c>
      <c r="T47" s="78"/>
      <c r="U47" s="77">
        <v>0.24761974753652777</v>
      </c>
      <c r="V47" s="78">
        <v>0.23153104217344109</v>
      </c>
      <c r="W47" s="78"/>
      <c r="X47" s="37" t="s">
        <v>104</v>
      </c>
      <c r="Y47" s="44">
        <v>4392.1064362406878</v>
      </c>
      <c r="Z47" s="76">
        <v>4948.598320905372</v>
      </c>
      <c r="AA47" s="76"/>
      <c r="AB47" s="44">
        <v>-11791.397172738587</v>
      </c>
      <c r="AC47" s="76">
        <v>-14642.690250220863</v>
      </c>
      <c r="AD47" s="76"/>
      <c r="AE47" s="47">
        <f>VLOOKUP(A_Entry_Forecast[[#This Row],[Ticker]],[1]!A_Entry_Data[#Data],2,FALSE)</f>
        <v>107900</v>
      </c>
      <c r="AF47" s="40">
        <f>IF(A_Entry_Forecast[[#This Row],[Target Price]]&lt;&gt;0,A_Entry_Forecast[[#This Row],[Target Price]]/AE47-1,"")</f>
        <v>1.297497683039861E-2</v>
      </c>
      <c r="AH47" s="1" t="s">
        <v>105</v>
      </c>
      <c r="AI47" s="7">
        <v>4495.1745209419996</v>
      </c>
      <c r="AJ47" s="7">
        <v>247.74094863299999</v>
      </c>
      <c r="AK47" s="7">
        <v>2085</v>
      </c>
      <c r="AL47" s="7">
        <v>15596.8</v>
      </c>
      <c r="AM47" s="8">
        <v>7.2599999999999998E-2</v>
      </c>
      <c r="AN47" s="8">
        <v>0.13170000000000001</v>
      </c>
    </row>
    <row r="48" spans="2:40" ht="15" x14ac:dyDescent="0.2">
      <c r="B48" s="41" t="s">
        <v>102</v>
      </c>
      <c r="C48" s="80" t="s">
        <v>106</v>
      </c>
      <c r="D48" s="43" t="s">
        <v>60</v>
      </c>
      <c r="E48" s="44"/>
      <c r="F48" s="76">
        <v>1987</v>
      </c>
      <c r="G48" s="76">
        <v>2086.35</v>
      </c>
      <c r="H48" s="76"/>
      <c r="I48" s="76">
        <v>247</v>
      </c>
      <c r="J48" s="76">
        <v>266.76</v>
      </c>
      <c r="K48" s="76"/>
      <c r="L48" s="76">
        <v>2235.2959382500853</v>
      </c>
      <c r="M48" s="76">
        <v>2414.1196133100925</v>
      </c>
      <c r="N48" s="76"/>
      <c r="O48" s="76">
        <v>14063.51</v>
      </c>
      <c r="P48" s="76">
        <v>14204.1451</v>
      </c>
      <c r="Q48" s="76"/>
      <c r="R48" s="77">
        <v>0.13286713286713286</v>
      </c>
      <c r="S48" s="78">
        <v>0.1434965034965035</v>
      </c>
      <c r="T48" s="78"/>
      <c r="U48" s="77">
        <v>0.15894296219436579</v>
      </c>
      <c r="V48" s="78">
        <v>0.16995881105932187</v>
      </c>
      <c r="W48" s="78"/>
      <c r="X48" s="37" t="s">
        <v>104</v>
      </c>
      <c r="Y48" s="44"/>
      <c r="Z48" s="76"/>
      <c r="AA48" s="76"/>
      <c r="AB48" s="44"/>
      <c r="AC48" s="76"/>
      <c r="AD48" s="76"/>
      <c r="AE48" s="47">
        <f>VLOOKUP(A_Entry_Forecast[[#This Row],[Ticker]],[1]!A_Entry_Data[#Data],2,FALSE)</f>
        <v>37050</v>
      </c>
      <c r="AF48" s="40" t="str">
        <f>IF(A_Entry_Forecast[[#This Row],[Target Price]]&lt;&gt;0,A_Entry_Forecast[[#This Row],[Target Price]]/AE48-1,"")</f>
        <v/>
      </c>
      <c r="AH48" s="1" t="s">
        <v>107</v>
      </c>
      <c r="AI48" s="7">
        <v>12058.194223709001</v>
      </c>
      <c r="AJ48" s="7">
        <v>614.46824064800001</v>
      </c>
      <c r="AK48" s="7">
        <v>1365</v>
      </c>
      <c r="AL48" s="7">
        <v>11480.73</v>
      </c>
      <c r="AM48" s="8">
        <v>7.9600000000000004E-2</v>
      </c>
      <c r="AN48" s="8">
        <v>0.1085</v>
      </c>
    </row>
    <row r="49" spans="2:40" ht="15" x14ac:dyDescent="0.2">
      <c r="B49" s="41" t="s">
        <v>102</v>
      </c>
      <c r="C49" s="80" t="s">
        <v>100</v>
      </c>
      <c r="D49" s="43" t="s">
        <v>48</v>
      </c>
      <c r="E49" s="44">
        <v>47300</v>
      </c>
      <c r="F49" s="76">
        <v>19929.562453470611</v>
      </c>
      <c r="G49" s="76">
        <v>19723.883442954269</v>
      </c>
      <c r="H49" s="76"/>
      <c r="I49" s="76">
        <v>2845.4462978918382</v>
      </c>
      <c r="J49" s="76">
        <v>2621.1106235058301</v>
      </c>
      <c r="K49" s="76"/>
      <c r="L49" s="76">
        <v>4031.138502869057</v>
      </c>
      <c r="M49" s="76">
        <v>3713.3225682458869</v>
      </c>
      <c r="N49" s="76"/>
      <c r="O49" s="76">
        <v>22175.855621709557</v>
      </c>
      <c r="P49" s="76">
        <v>25128.717910775471</v>
      </c>
      <c r="Q49" s="76"/>
      <c r="R49" s="77">
        <v>0.16807405834335612</v>
      </c>
      <c r="S49" s="78">
        <v>0.13888075123535001</v>
      </c>
      <c r="T49" s="78"/>
      <c r="U49" s="77">
        <v>0.24229827818068106</v>
      </c>
      <c r="V49" s="78">
        <v>0.19697508125389188</v>
      </c>
      <c r="W49" s="78"/>
      <c r="X49" s="37" t="s">
        <v>104</v>
      </c>
      <c r="Y49" s="44">
        <v>3217.9450870899659</v>
      </c>
      <c r="Z49" s="76">
        <v>2923.0537503218766</v>
      </c>
      <c r="AA49" s="76"/>
      <c r="AB49" s="44">
        <v>-7882.442480519283</v>
      </c>
      <c r="AC49" s="76">
        <v>-8584.480162218937</v>
      </c>
      <c r="AD49" s="76"/>
      <c r="AE49" s="47"/>
      <c r="AF49" s="40"/>
    </row>
    <row r="50" spans="2:40" ht="15" x14ac:dyDescent="0.2">
      <c r="B50" s="41" t="s">
        <v>102</v>
      </c>
      <c r="C50" s="80" t="s">
        <v>103</v>
      </c>
      <c r="D50" s="43" t="s">
        <v>60</v>
      </c>
      <c r="E50" s="44">
        <v>30500</v>
      </c>
      <c r="F50" s="76">
        <v>17284.032394785325</v>
      </c>
      <c r="G50" s="76">
        <v>17273.083730079179</v>
      </c>
      <c r="H50" s="76"/>
      <c r="I50" s="76">
        <v>1381.3329517743355</v>
      </c>
      <c r="J50" s="76">
        <v>1120.5364017654022</v>
      </c>
      <c r="K50" s="76"/>
      <c r="L50" s="76">
        <v>1905.1341755101612</v>
      </c>
      <c r="M50" s="76">
        <v>1705.5137629515018</v>
      </c>
      <c r="N50" s="76"/>
      <c r="O50" s="76">
        <v>22340.519198906844</v>
      </c>
      <c r="P50" s="76">
        <v>21949.591823769268</v>
      </c>
      <c r="Q50" s="76"/>
      <c r="R50" s="77">
        <v>6.9828444647252325E-2</v>
      </c>
      <c r="S50" s="78">
        <v>4.8515527439782415E-2</v>
      </c>
      <c r="T50" s="78"/>
      <c r="U50" s="77">
        <v>9.0927707729270252E-2</v>
      </c>
      <c r="V50" s="78">
        <v>7.5074189907451253E-2</v>
      </c>
      <c r="W50" s="78"/>
      <c r="X50" s="37" t="s">
        <v>104</v>
      </c>
      <c r="Y50" s="44">
        <v>1762.442227291707</v>
      </c>
      <c r="Z50" s="76">
        <v>1393.9117125953896</v>
      </c>
      <c r="AA50" s="76"/>
      <c r="AB50" s="44">
        <v>-6348.823007792329</v>
      </c>
      <c r="AC50" s="76">
        <v>-7271.7431438497279</v>
      </c>
      <c r="AD50" s="76"/>
      <c r="AE50" s="47">
        <f>VLOOKUP(A_Entry_Forecast[[#This Row],[Ticker]],[1]!A_Entry_Data[#Data],2,FALSE)</f>
        <v>28800</v>
      </c>
      <c r="AF50" s="40">
        <f>IF(A_Entry_Forecast[[#This Row],[Target Price]]&lt;&gt;0,A_Entry_Forecast[[#This Row],[Target Price]]/AE50-1,"")</f>
        <v>5.9027777777777679E-2</v>
      </c>
      <c r="AH50" s="1" t="s">
        <v>108</v>
      </c>
      <c r="AI50" s="7">
        <v>3525.8857817439998</v>
      </c>
      <c r="AJ50" s="7">
        <v>671.55900384100005</v>
      </c>
      <c r="AK50" s="7">
        <v>2889</v>
      </c>
      <c r="AL50" s="7">
        <v>24876.22</v>
      </c>
      <c r="AM50" s="8">
        <v>6.08E-2</v>
      </c>
      <c r="AN50" s="8">
        <v>0.1462</v>
      </c>
    </row>
    <row r="51" spans="2:40" ht="15" x14ac:dyDescent="0.2">
      <c r="B51" s="41" t="s">
        <v>102</v>
      </c>
      <c r="C51" s="80" t="s">
        <v>109</v>
      </c>
      <c r="D51" s="43" t="s">
        <v>48</v>
      </c>
      <c r="E51" s="44">
        <v>38200</v>
      </c>
      <c r="F51" s="76">
        <v>5696.7888594376118</v>
      </c>
      <c r="G51" s="76">
        <v>5141.5633260364193</v>
      </c>
      <c r="H51" s="76"/>
      <c r="I51" s="76">
        <v>485.61948028173498</v>
      </c>
      <c r="J51" s="76">
        <v>476.58296242536142</v>
      </c>
      <c r="K51" s="76"/>
      <c r="L51" s="76">
        <v>3323.6589737022268</v>
      </c>
      <c r="M51" s="76">
        <v>3261.8115707789921</v>
      </c>
      <c r="N51" s="76"/>
      <c r="O51" s="76">
        <v>12232.169750329316</v>
      </c>
      <c r="P51" s="76">
        <v>15065.588110983987</v>
      </c>
      <c r="Q51" s="76"/>
      <c r="R51" s="77">
        <v>0.27171458878853011</v>
      </c>
      <c r="S51" s="78">
        <v>0.21650741721797623</v>
      </c>
      <c r="T51" s="78"/>
      <c r="U51" s="77">
        <v>0.21240671392776977</v>
      </c>
      <c r="V51" s="78">
        <v>0.19266528252255183</v>
      </c>
      <c r="W51" s="78"/>
      <c r="X51" s="37" t="s">
        <v>104</v>
      </c>
      <c r="Y51" s="44">
        <v>3323.6589737022268</v>
      </c>
      <c r="Z51" s="76">
        <v>3261.8115707789921</v>
      </c>
      <c r="AA51" s="76"/>
      <c r="AB51" s="44"/>
      <c r="AC51" s="76"/>
      <c r="AD51" s="76"/>
      <c r="AE51" s="47">
        <f>VLOOKUP(A_Entry_Forecast[[#This Row],[Ticker]],[1]!A_Entry_Data[#Data],2,FALSE)</f>
        <v>34800</v>
      </c>
      <c r="AF51" s="40">
        <f>IF(A_Entry_Forecast[[#This Row],[Target Price]]&lt;&gt;0,A_Entry_Forecast[[#This Row],[Target Price]]/AE51-1,"")</f>
        <v>9.7701149425287293E-2</v>
      </c>
      <c r="AH51" s="1" t="s">
        <v>110</v>
      </c>
      <c r="AI51" s="7">
        <v>3258.9085416019998</v>
      </c>
      <c r="AJ51" s="7">
        <v>309.08135302800002</v>
      </c>
      <c r="AK51" s="7">
        <v>3840</v>
      </c>
      <c r="AL51" s="7">
        <v>22966.25</v>
      </c>
      <c r="AM51" s="8">
        <v>0.1066</v>
      </c>
      <c r="AN51" s="8">
        <v>0.1719</v>
      </c>
    </row>
    <row r="52" spans="2:40" ht="15" x14ac:dyDescent="0.2">
      <c r="B52" s="41" t="s">
        <v>102</v>
      </c>
      <c r="C52" s="80" t="s">
        <v>105</v>
      </c>
      <c r="D52" s="43" t="s">
        <v>60</v>
      </c>
      <c r="E52" s="44"/>
      <c r="F52" s="76">
        <v>4803.5805010472104</v>
      </c>
      <c r="G52" s="76">
        <v>5052.3285947947443</v>
      </c>
      <c r="H52" s="76"/>
      <c r="I52" s="76">
        <v>108.71932100518143</v>
      </c>
      <c r="J52" s="76">
        <v>191.47113034512353</v>
      </c>
      <c r="K52" s="76"/>
      <c r="L52" s="76">
        <v>648.81072470023457</v>
      </c>
      <c r="M52" s="76">
        <v>1142.6535935822492</v>
      </c>
      <c r="N52" s="76"/>
      <c r="O52" s="76">
        <v>15519.442340923508</v>
      </c>
      <c r="P52" s="76">
        <v>16266.177648144585</v>
      </c>
      <c r="Q52" s="76"/>
      <c r="R52" s="77">
        <v>2.5495719038898128E-2</v>
      </c>
      <c r="S52" s="78">
        <v>4.3462167317427608E-2</v>
      </c>
      <c r="T52" s="78"/>
      <c r="U52" s="77">
        <v>4.4973207515911162E-2</v>
      </c>
      <c r="V52" s="78">
        <v>7.5598330533038896E-2</v>
      </c>
      <c r="W52" s="78"/>
      <c r="X52" s="37" t="s">
        <v>104</v>
      </c>
      <c r="Y52" s="44">
        <v>317.41027862126651</v>
      </c>
      <c r="Z52" s="76">
        <v>373.97998364148555</v>
      </c>
      <c r="AA52" s="76"/>
      <c r="AB52" s="44">
        <v>-132.53741706566507</v>
      </c>
      <c r="AC52" s="76">
        <v>-407.96150069911403</v>
      </c>
      <c r="AD52" s="76"/>
      <c r="AE52" s="47">
        <f>VLOOKUP(A_Entry_Forecast[[#This Row],[Ticker]],[1]!A_Entry_Data[#Data],2,FALSE)</f>
        <v>17600</v>
      </c>
      <c r="AF52" s="40" t="str">
        <f>IF(A_Entry_Forecast[[#This Row],[Target Price]]&lt;&gt;0,A_Entry_Forecast[[#This Row],[Target Price]]/AE52-1,"")</f>
        <v/>
      </c>
      <c r="AH52" s="1" t="s">
        <v>111</v>
      </c>
      <c r="AI52" s="7">
        <v>6382.5991315849997</v>
      </c>
      <c r="AJ52" s="7">
        <v>495.787591056</v>
      </c>
      <c r="AK52" s="7">
        <v>1624</v>
      </c>
      <c r="AL52" s="7">
        <v>15140.41</v>
      </c>
      <c r="AM52" s="8">
        <v>6.2300000000000001E-2</v>
      </c>
      <c r="AN52" s="8">
        <v>0.1105</v>
      </c>
    </row>
    <row r="53" spans="2:40" ht="15" x14ac:dyDescent="0.2">
      <c r="B53" s="41" t="s">
        <v>102</v>
      </c>
      <c r="C53" s="80" t="s">
        <v>112</v>
      </c>
      <c r="D53" s="43" t="s">
        <v>60</v>
      </c>
      <c r="E53" s="81">
        <v>13500</v>
      </c>
      <c r="F53" s="82">
        <v>4799.7847995798884</v>
      </c>
      <c r="G53" s="76">
        <v>4903.4517347645533</v>
      </c>
      <c r="H53" s="76"/>
      <c r="I53" s="45">
        <v>73.0013394701393</v>
      </c>
      <c r="J53" s="76">
        <v>93.426249808799099</v>
      </c>
      <c r="K53" s="76"/>
      <c r="L53" s="45">
        <v>520.63913468616397</v>
      </c>
      <c r="M53" s="76">
        <v>666.30779942500885</v>
      </c>
      <c r="N53" s="76"/>
      <c r="O53" s="45">
        <v>13922.444037105692</v>
      </c>
      <c r="P53" s="76">
        <v>14568.864026796859</v>
      </c>
      <c r="Q53" s="76"/>
      <c r="R53" s="77">
        <v>3.7447403832265518E-2</v>
      </c>
      <c r="S53" s="78">
        <v>4.3256937514199255E-2</v>
      </c>
      <c r="T53" s="78"/>
      <c r="U53" s="77">
        <v>5.0599317184498109E-2</v>
      </c>
      <c r="V53" s="78">
        <v>6.1883167438562744E-2</v>
      </c>
      <c r="W53" s="78"/>
      <c r="X53" s="83" t="s">
        <v>104</v>
      </c>
      <c r="Y53" s="44">
        <v>370.11106062975671</v>
      </c>
      <c r="Z53" s="84">
        <v>378.65180589981634</v>
      </c>
      <c r="AA53" s="84"/>
      <c r="AB53" s="44">
        <v>1499.6384447662294</v>
      </c>
      <c r="AC53" s="85">
        <v>1259.0385786733784</v>
      </c>
      <c r="AD53" s="76"/>
      <c r="AE53" s="47"/>
      <c r="AF53" s="40"/>
    </row>
    <row r="54" spans="2:40" ht="15" x14ac:dyDescent="0.2">
      <c r="B54" s="41" t="s">
        <v>102</v>
      </c>
      <c r="C54" s="80" t="s">
        <v>64</v>
      </c>
      <c r="D54" s="43" t="s">
        <v>60</v>
      </c>
      <c r="E54" s="81">
        <v>20100</v>
      </c>
      <c r="F54" s="82">
        <v>109209</v>
      </c>
      <c r="G54" s="76">
        <v>140582</v>
      </c>
      <c r="H54" s="76">
        <v>150133</v>
      </c>
      <c r="I54" s="45">
        <v>1196</v>
      </c>
      <c r="J54" s="76">
        <v>1293</v>
      </c>
      <c r="K54" s="76">
        <v>1473</v>
      </c>
      <c r="L54" s="45">
        <v>386</v>
      </c>
      <c r="M54" s="76">
        <v>417</v>
      </c>
      <c r="N54" s="76">
        <v>475</v>
      </c>
      <c r="O54" s="45">
        <v>19100</v>
      </c>
      <c r="P54" s="76">
        <v>20300</v>
      </c>
      <c r="Q54" s="76"/>
      <c r="R54" s="77">
        <v>0.05</v>
      </c>
      <c r="S54" s="78">
        <v>0.05</v>
      </c>
      <c r="T54" s="78"/>
      <c r="U54" s="77">
        <v>0.08</v>
      </c>
      <c r="V54" s="78">
        <v>0.08</v>
      </c>
      <c r="W54" s="78"/>
      <c r="X54" s="83" t="str">
        <f>IF(OR(COUNTBLANK(A_Entry_Forecast[[#This Row],[REV_FY]])&lt;&gt;0,COUNTBLANK(A_Entry_Forecast[[#This Row],[REV_FY+1]])&lt;&gt;0),"N","Y")</f>
        <v>Y</v>
      </c>
      <c r="Y54" s="44"/>
      <c r="Z54" s="84"/>
      <c r="AA54" s="84"/>
      <c r="AB54" s="44"/>
      <c r="AC54" s="85"/>
      <c r="AD54" s="76"/>
      <c r="AE54" s="47">
        <f>VLOOKUP(A_Entry_Forecast[[#This Row],[Ticker]],[1]!A_Entry_Data[#Data],2,FALSE)</f>
        <v>22950</v>
      </c>
      <c r="AF54" s="40">
        <f>IF(A_Entry_Forecast[[#This Row],[Target Price]]&lt;&gt;0,A_Entry_Forecast[[#This Row],[Target Price]]/AE54-1,"")</f>
        <v>-0.12418300653594772</v>
      </c>
      <c r="AH54" s="1" t="s">
        <v>113</v>
      </c>
      <c r="AI54" s="7">
        <v>31849.649616719998</v>
      </c>
      <c r="AJ54" s="7">
        <v>-345.64348932799999</v>
      </c>
      <c r="AK54" s="7">
        <v>-2537</v>
      </c>
      <c r="AL54" s="7">
        <v>11738.32</v>
      </c>
      <c r="AM54" s="8">
        <v>-2.93E-2</v>
      </c>
      <c r="AN54" s="8">
        <v>-0.1825</v>
      </c>
    </row>
    <row r="55" spans="2:40" ht="15" x14ac:dyDescent="0.2">
      <c r="B55" s="41" t="s">
        <v>102</v>
      </c>
      <c r="C55" s="80" t="s">
        <v>82</v>
      </c>
      <c r="D55" s="43" t="s">
        <v>48</v>
      </c>
      <c r="E55" s="81">
        <v>23700</v>
      </c>
      <c r="F55" s="82">
        <v>8963</v>
      </c>
      <c r="G55" s="76">
        <v>9983</v>
      </c>
      <c r="H55" s="76"/>
      <c r="I55" s="45">
        <v>710</v>
      </c>
      <c r="J55" s="76">
        <v>883</v>
      </c>
      <c r="K55" s="76"/>
      <c r="L55" s="45">
        <v>1265</v>
      </c>
      <c r="M55" s="76">
        <v>1484</v>
      </c>
      <c r="N55" s="76"/>
      <c r="O55" s="45">
        <v>28700</v>
      </c>
      <c r="P55" s="76">
        <v>29200</v>
      </c>
      <c r="Q55" s="76"/>
      <c r="R55" s="77">
        <v>4.1000000000000002E-2</v>
      </c>
      <c r="S55" s="78">
        <v>0.04</v>
      </c>
      <c r="T55" s="78"/>
      <c r="U55" s="77">
        <v>0.06</v>
      </c>
      <c r="V55" s="78">
        <v>0.06</v>
      </c>
      <c r="W55" s="78"/>
      <c r="X55" s="83" t="str">
        <f>IF(OR(COUNTBLANK(A_Entry_Forecast[[#This Row],[REV_FY]])&lt;&gt;0,COUNTBLANK(A_Entry_Forecast[[#This Row],[REV_FY+1]])&lt;&gt;0),"N","Y")</f>
        <v>Y</v>
      </c>
      <c r="Y55" s="44"/>
      <c r="Z55" s="84"/>
      <c r="AA55" s="84"/>
      <c r="AB55" s="44"/>
      <c r="AC55" s="85"/>
      <c r="AD55" s="76"/>
      <c r="AE55" s="47">
        <f>VLOOKUP(A_Entry_Forecast[[#This Row],[Ticker]],[1]!A_Entry_Data[#Data],2,FALSE)</f>
        <v>23000</v>
      </c>
      <c r="AF55" s="40">
        <f>IF(A_Entry_Forecast[[#This Row],[Target Price]]&lt;&gt;0,A_Entry_Forecast[[#This Row],[Target Price]]/AE55-1,"")</f>
        <v>3.0434782608695699E-2</v>
      </c>
      <c r="AH55" s="1" t="s">
        <v>114</v>
      </c>
      <c r="AI55" s="7">
        <v>78251.619000000006</v>
      </c>
      <c r="AJ55" s="7">
        <v>418.69499999999999</v>
      </c>
      <c r="AK55" s="7">
        <v>294</v>
      </c>
      <c r="AL55" s="7">
        <v>18562.189999999999</v>
      </c>
      <c r="AM55" s="8">
        <v>2.8999999999999998E-3</v>
      </c>
      <c r="AN55" s="8">
        <v>7.0900000000000005E-2</v>
      </c>
    </row>
    <row r="56" spans="2:40" ht="15" x14ac:dyDescent="0.2">
      <c r="B56" s="49" t="s">
        <v>115</v>
      </c>
      <c r="C56" s="86" t="s">
        <v>116</v>
      </c>
      <c r="D56" s="51" t="s">
        <v>60</v>
      </c>
      <c r="E56" s="52"/>
      <c r="F56" s="56"/>
      <c r="G56" s="61"/>
      <c r="H56" s="61"/>
      <c r="I56" s="56"/>
      <c r="J56" s="56"/>
      <c r="K56" s="56"/>
      <c r="L56" s="56"/>
      <c r="M56" s="56"/>
      <c r="N56" s="56"/>
      <c r="O56" s="56"/>
      <c r="P56" s="61"/>
      <c r="Q56" s="61"/>
      <c r="R56" s="87"/>
      <c r="S56" s="58"/>
      <c r="T56" s="58"/>
      <c r="U56" s="57"/>
      <c r="V56" s="58"/>
      <c r="W56" s="58"/>
      <c r="X56" s="37" t="str">
        <f>IF(OR(COUNTBLANK(A_Entry_Forecast[[#This Row],[REV_FY]])&lt;&gt;0,COUNTBLANK(A_Entry_Forecast[[#This Row],[REV_FY+1]])&lt;&gt;0),"N","Y")</f>
        <v>N</v>
      </c>
      <c r="Y56" s="52"/>
      <c r="Z56" s="56"/>
      <c r="AA56" s="56"/>
      <c r="AB56" s="52"/>
      <c r="AC56" s="56"/>
      <c r="AD56" s="56"/>
      <c r="AE56" s="47">
        <f>VLOOKUP(A_Entry_Forecast[[#This Row],[Ticker]],[1]!A_Entry_Data[#Data],2,FALSE)</f>
        <v>49300</v>
      </c>
      <c r="AF56" s="40" t="str">
        <f>IF(A_Entry_Forecast[[#This Row],[Target Price]]&lt;&gt;0,A_Entry_Forecast[[#This Row],[Target Price]]/AE56-1,"")</f>
        <v/>
      </c>
      <c r="AH56" s="1" t="s">
        <v>117</v>
      </c>
      <c r="AI56" s="7">
        <v>7803.0082017169998</v>
      </c>
      <c r="AJ56" s="7">
        <v>136.569985282</v>
      </c>
      <c r="AK56" s="7">
        <v>395</v>
      </c>
      <c r="AL56" s="7">
        <v>16665.2</v>
      </c>
      <c r="AM56" s="8">
        <v>6.4999999999999997E-3</v>
      </c>
      <c r="AN56" s="8">
        <v>5.7599999999999998E-2</v>
      </c>
    </row>
    <row r="57" spans="2:40" ht="15" x14ac:dyDescent="0.2">
      <c r="B57" s="49" t="s">
        <v>115</v>
      </c>
      <c r="C57" s="86" t="s">
        <v>118</v>
      </c>
      <c r="D57" s="51" t="s">
        <v>75</v>
      </c>
      <c r="E57" s="52"/>
      <c r="F57" s="56"/>
      <c r="G57" s="61"/>
      <c r="H57" s="61"/>
      <c r="I57" s="56"/>
      <c r="J57" s="61"/>
      <c r="K57" s="61"/>
      <c r="L57" s="56"/>
      <c r="M57" s="61"/>
      <c r="N57" s="61"/>
      <c r="O57" s="56"/>
      <c r="P57" s="56"/>
      <c r="Q57" s="56"/>
      <c r="R57" s="57"/>
      <c r="S57" s="58"/>
      <c r="T57" s="58"/>
      <c r="U57" s="57"/>
      <c r="V57" s="58"/>
      <c r="W57" s="58"/>
      <c r="X57" s="37" t="str">
        <f>IF(OR(COUNTBLANK(A_Entry_Forecast[[#This Row],[REV_FY]])&lt;&gt;0,COUNTBLANK(A_Entry_Forecast[[#This Row],[REV_FY+1]])&lt;&gt;0),"N","Y")</f>
        <v>N</v>
      </c>
      <c r="Y57" s="52"/>
      <c r="Z57" s="56"/>
      <c r="AA57" s="56"/>
      <c r="AB57" s="52"/>
      <c r="AC57" s="56"/>
      <c r="AD57" s="56"/>
      <c r="AE57" s="88">
        <f>VLOOKUP(A_Entry_Forecast[[#This Row],[Ticker]],[1]!A_Entry_Data[#Data],2,FALSE)</f>
        <v>48300</v>
      </c>
      <c r="AF57" s="89" t="str">
        <f>IF(A_Entry_Forecast[[#This Row],[Target Price]]&lt;&gt;0,A_Entry_Forecast[[#This Row],[Target Price]]/AE57-1,"")</f>
        <v/>
      </c>
      <c r="AH57" s="1" t="s">
        <v>119</v>
      </c>
      <c r="AI57" s="67">
        <v>27944.691261851</v>
      </c>
      <c r="AJ57" s="67">
        <v>1075.0479126509999</v>
      </c>
      <c r="AK57" s="67">
        <v>459</v>
      </c>
      <c r="AL57" s="67">
        <v>13430.09</v>
      </c>
      <c r="AM57" s="8">
        <v>1.6899999999999998E-2</v>
      </c>
      <c r="AN57" s="8">
        <v>4.2900000000000001E-2</v>
      </c>
    </row>
    <row r="58" spans="2:40" ht="15" x14ac:dyDescent="0.2">
      <c r="B58" s="49" t="s">
        <v>115</v>
      </c>
      <c r="C58" s="90" t="s">
        <v>120</v>
      </c>
      <c r="D58" s="91" t="s">
        <v>60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4"/>
      <c r="S58" s="95"/>
      <c r="T58" s="95"/>
      <c r="U58" s="94"/>
      <c r="V58" s="95"/>
      <c r="W58" s="95"/>
      <c r="X58" s="37" t="str">
        <f>IF(OR(COUNTBLANK(A_Entry_Forecast[[#This Row],[REV_FY]])&lt;&gt;0,COUNTBLANK(A_Entry_Forecast[[#This Row],[REV_FY+1]])&lt;&gt;0),"N","Y")</f>
        <v>N</v>
      </c>
      <c r="Y58" s="96"/>
      <c r="Z58" s="93"/>
      <c r="AA58" s="93"/>
      <c r="AB58" s="96"/>
      <c r="AC58" s="93"/>
      <c r="AD58" s="93"/>
      <c r="AE58" s="97">
        <f>VLOOKUP(A_Entry_Forecast[[#This Row],[Ticker]],[1]!A_Entry_Data[#Data],2,FALSE)</f>
        <v>27700</v>
      </c>
      <c r="AF58" s="98" t="str">
        <f>IF(A_Entry_Forecast[[#This Row],[Target Price]]&lt;&gt;0,A_Entry_Forecast[[#This Row],[Target Price]]/AE58-1,"")</f>
        <v/>
      </c>
      <c r="AH58" s="1" t="s">
        <v>121</v>
      </c>
      <c r="AI58" s="67">
        <v>532.57391847999997</v>
      </c>
      <c r="AJ58" s="67">
        <v>283.449860715</v>
      </c>
      <c r="AK58" s="67">
        <v>2680</v>
      </c>
      <c r="AL58" s="67">
        <v>20366.36</v>
      </c>
      <c r="AM58" s="8">
        <v>0.1132</v>
      </c>
      <c r="AN58" s="8">
        <v>0.13900000000000001</v>
      </c>
    </row>
    <row r="59" spans="2:40" x14ac:dyDescent="0.2">
      <c r="B59" s="49" t="s">
        <v>122</v>
      </c>
      <c r="C59" s="51" t="s">
        <v>73</v>
      </c>
      <c r="D59" s="51" t="s">
        <v>60</v>
      </c>
      <c r="E59" s="52">
        <v>35100</v>
      </c>
      <c r="F59" s="56">
        <v>38136.902599425543</v>
      </c>
      <c r="G59" s="61">
        <v>38892.552281647295</v>
      </c>
      <c r="H59" s="61">
        <v>41187.558988798351</v>
      </c>
      <c r="I59" s="56">
        <v>1129.6702877432253</v>
      </c>
      <c r="J59" s="56">
        <v>1292.1494091395884</v>
      </c>
      <c r="K59" s="56">
        <v>1490.2298105905697</v>
      </c>
      <c r="L59" s="56">
        <v>1314.4871861103391</v>
      </c>
      <c r="M59" s="56">
        <v>1503.5483001391535</v>
      </c>
      <c r="N59" s="56">
        <v>1734.0351531191179</v>
      </c>
      <c r="O59" s="56">
        <v>29923.460260064723</v>
      </c>
      <c r="P59" s="56">
        <v>32823.468581990695</v>
      </c>
      <c r="Q59" s="56">
        <v>36106.779560812691</v>
      </c>
      <c r="R59" s="57">
        <v>4.5397962593983016E-2</v>
      </c>
      <c r="S59" s="58">
        <v>4.473767193653045E-2</v>
      </c>
      <c r="T59" s="58">
        <v>4.6445629821912617E-2</v>
      </c>
      <c r="U59" s="57">
        <v>8.9012451365266879E-2</v>
      </c>
      <c r="V59" s="58">
        <v>9.5088397213127993E-2</v>
      </c>
      <c r="W59" s="58">
        <v>9.4984281835522794E-2</v>
      </c>
      <c r="X59" s="37" t="str">
        <f>IF(OR(COUNTBLANK(A_Entry_Forecast[[#This Row],[REV_FY]])&lt;&gt;0,COUNTBLANK(A_Entry_Forecast[[#This Row],[REV_FY+1]])&lt;&gt;0),"N","Y")</f>
        <v>Y</v>
      </c>
      <c r="Y59" s="73"/>
      <c r="Z59" s="99"/>
      <c r="AA59" s="99"/>
      <c r="AB59" s="73"/>
      <c r="AC59" s="99"/>
      <c r="AD59" s="99"/>
      <c r="AE59" s="97">
        <f>VLOOKUP(A_Entry_Forecast[[#This Row],[Ticker]],[1]!A_Entry_Data[#Data],2,FALSE)</f>
        <v>58800</v>
      </c>
      <c r="AF59" s="98">
        <f>IF(A_Entry_Forecast[[#This Row],[Target Price]]&lt;&gt;0,A_Entry_Forecast[[#This Row],[Target Price]]/AE59-1,"")</f>
        <v>-0.40306122448979587</v>
      </c>
      <c r="AH59" s="1" t="s">
        <v>123</v>
      </c>
      <c r="AI59" s="67">
        <v>3842.5499562159998</v>
      </c>
      <c r="AJ59" s="67">
        <v>6233.5825594750004</v>
      </c>
      <c r="AK59" s="67">
        <v>4691</v>
      </c>
      <c r="AL59" s="67">
        <v>19213.2</v>
      </c>
      <c r="AM59" s="8">
        <v>0.22839999999999999</v>
      </c>
      <c r="AN59" s="8">
        <v>0.24929999999999999</v>
      </c>
    </row>
    <row r="60" spans="2:40" x14ac:dyDescent="0.2">
      <c r="B60" s="49" t="s">
        <v>122</v>
      </c>
      <c r="C60" s="51" t="s">
        <v>108</v>
      </c>
      <c r="D60" s="51" t="s">
        <v>60</v>
      </c>
      <c r="E60" s="73">
        <v>42100</v>
      </c>
      <c r="F60" s="56">
        <v>4262.7199024334495</v>
      </c>
      <c r="G60" s="61">
        <v>4555.3088130434135</v>
      </c>
      <c r="H60" s="61">
        <v>4987.7236395805148</v>
      </c>
      <c r="I60" s="56">
        <v>695.96080793746569</v>
      </c>
      <c r="J60" s="61">
        <v>884</v>
      </c>
      <c r="K60" s="61">
        <v>1041</v>
      </c>
      <c r="L60" s="56">
        <v>3164.8968073554602</v>
      </c>
      <c r="M60" s="61">
        <v>4097.2113719397876</v>
      </c>
      <c r="N60" s="61">
        <v>4817.2448993280022</v>
      </c>
      <c r="O60" s="56">
        <v>27805.354572933589</v>
      </c>
      <c r="P60" s="61">
        <v>31300.401084858713</v>
      </c>
      <c r="Q60" s="61">
        <v>35388.527902915324</v>
      </c>
      <c r="R60" s="57">
        <v>5.0910361623951093E-2</v>
      </c>
      <c r="S60" s="58">
        <v>6.5080958600715472E-2</v>
      </c>
      <c r="T60" s="58">
        <v>7.3364209407469697E-2</v>
      </c>
      <c r="U60" s="57">
        <v>0.12397870489992978</v>
      </c>
      <c r="V60" s="58">
        <v>0.14248694953967067</v>
      </c>
      <c r="W60" s="58">
        <v>0.14787860636508862</v>
      </c>
      <c r="X60" s="37" t="str">
        <f>IF(OR(COUNTBLANK(A_Entry_Forecast[[#This Row],[REV_FY]])&lt;&gt;0,COUNTBLANK(A_Entry_Forecast[[#This Row],[REV_FY+1]])&lt;&gt;0),"N","Y")</f>
        <v>Y</v>
      </c>
      <c r="Y60" s="53"/>
      <c r="Z60" s="56"/>
      <c r="AA60" s="56"/>
      <c r="AB60" s="53"/>
      <c r="AC60" s="56"/>
      <c r="AD60" s="56"/>
      <c r="AE60" s="97">
        <f>VLOOKUP(A_Entry_Forecast[[#This Row],[Ticker]],[1]!A_Entry_Data[#Data],2,FALSE)</f>
        <v>49000</v>
      </c>
      <c r="AF60" s="98">
        <f>IF(A_Entry_Forecast[[#This Row],[Target Price]]&lt;&gt;0,A_Entry_Forecast[[#This Row],[Target Price]]/AE60-1,"")</f>
        <v>-0.14081632653061227</v>
      </c>
      <c r="AH60" s="1" t="s">
        <v>124</v>
      </c>
      <c r="AI60" s="67">
        <v>5156.9843702159997</v>
      </c>
      <c r="AJ60" s="67">
        <v>1041.006333282</v>
      </c>
      <c r="AK60" s="67">
        <v>12717</v>
      </c>
      <c r="AL60" s="67">
        <v>32857.29</v>
      </c>
      <c r="AM60" s="8">
        <v>0.33050000000000002</v>
      </c>
      <c r="AN60" s="8">
        <v>0.39200000000000002</v>
      </c>
    </row>
    <row r="61" spans="2:40" x14ac:dyDescent="0.2">
      <c r="B61" s="49" t="s">
        <v>122</v>
      </c>
      <c r="C61" s="51" t="s">
        <v>110</v>
      </c>
      <c r="D61" s="51" t="s">
        <v>48</v>
      </c>
      <c r="E61" s="75">
        <v>35100</v>
      </c>
      <c r="F61" s="56">
        <v>3624.3447600920845</v>
      </c>
      <c r="G61" s="61">
        <v>3714.0386593794428</v>
      </c>
      <c r="H61" s="61">
        <v>4828.9330692757894</v>
      </c>
      <c r="I61" s="56">
        <v>308.74048242351421</v>
      </c>
      <c r="J61" s="61">
        <v>322.13147505375406</v>
      </c>
      <c r="K61" s="61">
        <v>382.34582753707878</v>
      </c>
      <c r="L61" s="56">
        <v>3196.0712466202299</v>
      </c>
      <c r="M61" s="61">
        <v>3334.6943587345145</v>
      </c>
      <c r="N61" s="61">
        <v>3958.0313409635487</v>
      </c>
      <c r="O61" s="56">
        <v>22388.617830471161</v>
      </c>
      <c r="P61" s="61">
        <v>25723.312189205677</v>
      </c>
      <c r="Q61" s="61">
        <v>29681.343530169226</v>
      </c>
      <c r="R61" s="57">
        <v>8.8286099080104929E-2</v>
      </c>
      <c r="S61" s="58">
        <v>8.3152034860978649E-2</v>
      </c>
      <c r="T61" s="58">
        <v>7.0885885818695871E-2</v>
      </c>
      <c r="U61" s="57">
        <v>0.14822838039296071</v>
      </c>
      <c r="V61" s="58">
        <v>0.15917110634320036</v>
      </c>
      <c r="W61" s="58">
        <v>0.14287721093371697</v>
      </c>
      <c r="X61" s="37" t="str">
        <f>IF(OR(COUNTBLANK(A_Entry_Forecast[[#This Row],[REV_FY]])&lt;&gt;0,COUNTBLANK(A_Entry_Forecast[[#This Row],[REV_FY+1]])&lt;&gt;0),"N","Y")</f>
        <v>Y</v>
      </c>
      <c r="Y61" s="53"/>
      <c r="Z61" s="56"/>
      <c r="AA61" s="56"/>
      <c r="AB61" s="53"/>
      <c r="AC61" s="56"/>
      <c r="AD61" s="56"/>
      <c r="AE61" s="97">
        <f>VLOOKUP(A_Entry_Forecast[[#This Row],[Ticker]],[1]!A_Entry_Data[#Data],2,FALSE)</f>
        <v>32250</v>
      </c>
      <c r="AF61" s="98">
        <f>IF(A_Entry_Forecast[[#This Row],[Target Price]]&lt;&gt;0,A_Entry_Forecast[[#This Row],[Target Price]]/AE61-1,"")</f>
        <v>8.8372093023255882E-2</v>
      </c>
      <c r="AI61" s="67"/>
      <c r="AJ61" s="67"/>
      <c r="AK61" s="67"/>
      <c r="AL61" s="67"/>
    </row>
    <row r="62" spans="2:40" ht="12" customHeight="1" x14ac:dyDescent="0.2">
      <c r="B62" s="49" t="s">
        <v>122</v>
      </c>
      <c r="C62" s="51" t="s">
        <v>125</v>
      </c>
      <c r="D62" s="51" t="s">
        <v>48</v>
      </c>
      <c r="E62" s="52">
        <v>33100</v>
      </c>
      <c r="F62" s="100">
        <v>3200.359629851157</v>
      </c>
      <c r="G62" s="100">
        <v>3675.3972413758484</v>
      </c>
      <c r="H62" s="100">
        <v>8237.312878094237</v>
      </c>
      <c r="I62" s="100">
        <v>882.56169217931108</v>
      </c>
      <c r="J62" s="100">
        <v>1337.7359942528583</v>
      </c>
      <c r="K62" s="100">
        <v>1579.9154263866442</v>
      </c>
      <c r="L62" s="100">
        <v>2624.3285524213825</v>
      </c>
      <c r="M62" s="100">
        <v>3977.8055136867624</v>
      </c>
      <c r="N62" s="100">
        <v>4697.9346606798817</v>
      </c>
      <c r="O62" s="100">
        <v>25150.473128140748</v>
      </c>
      <c r="P62" s="100">
        <v>29813.373228198579</v>
      </c>
      <c r="Q62" s="100">
        <v>35232.239386009671</v>
      </c>
      <c r="R62" s="101">
        <v>7.6298339206592014E-2</v>
      </c>
      <c r="S62" s="102">
        <v>9.799044468992843E-2</v>
      </c>
      <c r="T62" s="102">
        <v>9.3494401973673355E-2</v>
      </c>
      <c r="U62" s="101">
        <v>0.13494247616399876</v>
      </c>
      <c r="V62" s="102">
        <v>0.1748576287319954</v>
      </c>
      <c r="W62" s="102">
        <v>0.17344067731942164</v>
      </c>
      <c r="X62" s="37" t="str">
        <f>IF(OR(COUNTBLANK(A_Entry_Forecast[[#This Row],[REV_FY]])&lt;&gt;0,COUNTBLANK(A_Entry_Forecast[[#This Row],[REV_FY+1]])&lt;&gt;0),"N","Y")</f>
        <v>Y</v>
      </c>
      <c r="Y62" s="53"/>
      <c r="Z62" s="56"/>
      <c r="AA62" s="56"/>
      <c r="AB62" s="53"/>
      <c r="AC62" s="56"/>
      <c r="AD62" s="56"/>
      <c r="AE62" s="97">
        <f>VLOOKUP(A_Entry_Forecast[[#This Row],[Ticker]],[1]!A_Entry_Data[#Data],2,FALSE)</f>
        <v>28800</v>
      </c>
      <c r="AF62" s="98">
        <f>IF(A_Entry_Forecast[[#This Row],[Target Price]]&lt;&gt;0,A_Entry_Forecast[[#This Row],[Target Price]]/AE62-1,"")</f>
        <v>0.14930555555555558</v>
      </c>
      <c r="AH62" s="1" t="s">
        <v>126</v>
      </c>
      <c r="AI62" s="67">
        <v>32806.456479733002</v>
      </c>
      <c r="AJ62" s="67">
        <v>813.60135538500003</v>
      </c>
      <c r="AK62" s="67">
        <v>0</v>
      </c>
      <c r="AL62" s="67">
        <v>17621.400000000001</v>
      </c>
      <c r="AM62" s="8">
        <v>1.6999999999999999E-3</v>
      </c>
      <c r="AN62" s="8">
        <v>2.8E-3</v>
      </c>
    </row>
    <row r="63" spans="2:40" ht="15" x14ac:dyDescent="0.2">
      <c r="B63" s="49" t="s">
        <v>122</v>
      </c>
      <c r="C63" s="86" t="s">
        <v>111</v>
      </c>
      <c r="D63" s="51" t="s">
        <v>60</v>
      </c>
      <c r="E63" s="52">
        <v>25300</v>
      </c>
      <c r="F63" s="100">
        <v>7381.225859107456</v>
      </c>
      <c r="G63" s="103">
        <v>7559.6851076890307</v>
      </c>
      <c r="H63" s="103">
        <v>7909.2251517038967</v>
      </c>
      <c r="I63" s="100">
        <v>528.85739052585723</v>
      </c>
      <c r="J63" s="103">
        <v>724.74410845643024</v>
      </c>
      <c r="K63" s="103">
        <v>852.89907264040198</v>
      </c>
      <c r="L63" s="100">
        <v>1837.1011729005654</v>
      </c>
      <c r="M63" s="103">
        <v>2517.5562931515569</v>
      </c>
      <c r="N63" s="103">
        <v>2962.7304350526592</v>
      </c>
      <c r="O63" s="100">
        <v>17388.761121707907</v>
      </c>
      <c r="P63" s="103">
        <v>21406.286000295244</v>
      </c>
      <c r="Q63" s="103">
        <v>24369.016435347905</v>
      </c>
      <c r="R63" s="104">
        <v>5.587745148421519E-2</v>
      </c>
      <c r="S63" s="105">
        <v>6.7156397273038987E-2</v>
      </c>
      <c r="T63" s="105">
        <v>7.155949083380117E-2</v>
      </c>
      <c r="U63" s="104">
        <v>0.11503292109237272</v>
      </c>
      <c r="V63" s="105">
        <v>0.12978751051567561</v>
      </c>
      <c r="W63" s="105">
        <v>0.12944667877260013</v>
      </c>
      <c r="X63" s="37" t="str">
        <f>IF(OR(COUNTBLANK(A_Entry_Forecast[[#This Row],[REV_FY]])&lt;&gt;0,COUNTBLANK(A_Entry_Forecast[[#This Row],[REV_FY+1]])&lt;&gt;0),"N","Y")</f>
        <v>Y</v>
      </c>
      <c r="Y63" s="53"/>
      <c r="Z63" s="56"/>
      <c r="AA63" s="56"/>
      <c r="AB63" s="53"/>
      <c r="AC63" s="56"/>
      <c r="AD63" s="56"/>
      <c r="AE63" s="47">
        <f>VLOOKUP(A_Entry_Forecast[[#This Row],[Ticker]],[1]!A_Entry_Data[#Data],2,FALSE)</f>
        <v>22450</v>
      </c>
      <c r="AF63" s="40">
        <f>IF(A_Entry_Forecast[[#This Row],[Target Price]]&lt;&gt;0,A_Entry_Forecast[[#This Row],[Target Price]]/AE63-1,"")</f>
        <v>0.12694877505567925</v>
      </c>
      <c r="AH63" s="1" t="s">
        <v>127</v>
      </c>
      <c r="AI63" s="67">
        <v>7049.0261182060003</v>
      </c>
      <c r="AJ63" s="67">
        <v>16.918175656999999</v>
      </c>
      <c r="AK63" s="67">
        <v>44</v>
      </c>
      <c r="AL63" s="67">
        <v>12638.07</v>
      </c>
      <c r="AM63" s="8">
        <v>1.9E-3</v>
      </c>
      <c r="AN63" s="8">
        <v>3.5000000000000001E-3</v>
      </c>
    </row>
    <row r="64" spans="2:40" ht="15" x14ac:dyDescent="0.2">
      <c r="B64" s="49" t="s">
        <v>122</v>
      </c>
      <c r="C64" s="86" t="s">
        <v>107</v>
      </c>
      <c r="D64" s="51" t="s">
        <v>48</v>
      </c>
      <c r="E64" s="52">
        <v>12900</v>
      </c>
      <c r="F64" s="100">
        <v>12106.809923948334</v>
      </c>
      <c r="G64" s="103">
        <v>12129.312529156197</v>
      </c>
      <c r="H64" s="103">
        <v>12152.040160416138</v>
      </c>
      <c r="I64" s="100">
        <v>783.61944470488447</v>
      </c>
      <c r="J64" s="103">
        <v>724.08521805342389</v>
      </c>
      <c r="K64" s="103">
        <v>746.7651048819514</v>
      </c>
      <c r="L64" s="100">
        <v>1741.3765437886323</v>
      </c>
      <c r="M64" s="103">
        <v>1609.0782623409418</v>
      </c>
      <c r="N64" s="103">
        <v>1659.478010848781</v>
      </c>
      <c r="O64" s="100">
        <v>11500</v>
      </c>
      <c r="P64" s="103">
        <v>11700</v>
      </c>
      <c r="Q64" s="103">
        <v>11800</v>
      </c>
      <c r="R64" s="104">
        <v>0.10686117709955611</v>
      </c>
      <c r="S64" s="105">
        <v>9.846211183923094E-2</v>
      </c>
      <c r="T64" s="105">
        <v>0.10082590825527107</v>
      </c>
      <c r="U64" s="104">
        <v>0.15244595890736798</v>
      </c>
      <c r="V64" s="105">
        <v>0.13873591404116634</v>
      </c>
      <c r="W64" s="105">
        <v>0.14144384294516552</v>
      </c>
      <c r="X64" s="37" t="str">
        <f>IF(OR(COUNTBLANK(A_Entry_Forecast[[#This Row],[REV_FY]])&lt;&gt;0,COUNTBLANK(A_Entry_Forecast[[#This Row],[REV_FY+1]])&lt;&gt;0),"N","Y")</f>
        <v>Y</v>
      </c>
      <c r="Y64" s="53"/>
      <c r="Z64" s="56"/>
      <c r="AA64" s="56"/>
      <c r="AB64" s="53"/>
      <c r="AC64" s="56"/>
      <c r="AD64" s="56"/>
      <c r="AE64" s="47">
        <f>VLOOKUP(A_Entry_Forecast[[#This Row],[Ticker]],[1]!A_Entry_Data[#Data],2,FALSE)</f>
        <v>13200</v>
      </c>
      <c r="AF64" s="40">
        <f>IF(A_Entry_Forecast[[#This Row],[Target Price]]&lt;&gt;0,A_Entry_Forecast[[#This Row],[Target Price]]/AE64-1,"")</f>
        <v>-2.2727272727272707E-2</v>
      </c>
      <c r="AH64" s="1" t="s">
        <v>98</v>
      </c>
      <c r="AI64" s="67">
        <v>5644.6628863440001</v>
      </c>
      <c r="AJ64" s="67">
        <v>1995.55614014</v>
      </c>
      <c r="AK64" s="67">
        <v>2600</v>
      </c>
      <c r="AL64" s="67">
        <v>23633.02</v>
      </c>
      <c r="AM64" s="8">
        <v>5.8400000000000001E-2</v>
      </c>
      <c r="AN64" s="8">
        <v>0.12970000000000001</v>
      </c>
    </row>
    <row r="65" spans="2:40" ht="15" x14ac:dyDescent="0.2">
      <c r="B65" s="49" t="s">
        <v>122</v>
      </c>
      <c r="C65" s="86" t="s">
        <v>117</v>
      </c>
      <c r="D65" s="51" t="s">
        <v>48</v>
      </c>
      <c r="E65" s="52">
        <v>26700</v>
      </c>
      <c r="F65" s="56">
        <v>12788.225490566039</v>
      </c>
      <c r="G65" s="61">
        <v>14525.776793238754</v>
      </c>
      <c r="H65" s="61">
        <v>14075.298160373915</v>
      </c>
      <c r="I65" s="56">
        <v>559.24020033434624</v>
      </c>
      <c r="J65" s="61">
        <v>1157.3367954407452</v>
      </c>
      <c r="K65" s="61">
        <v>1191.2798690197437</v>
      </c>
      <c r="L65" s="56">
        <v>1563.8708063040999</v>
      </c>
      <c r="M65" s="61">
        <v>3236.4004346776987</v>
      </c>
      <c r="N65" s="61">
        <v>3331.3195442386568</v>
      </c>
      <c r="O65" s="56">
        <v>23760.340552482809</v>
      </c>
      <c r="P65" s="61">
        <v>27864.524272297993</v>
      </c>
      <c r="Q65" s="61">
        <v>32187.130365018733</v>
      </c>
      <c r="R65" s="57">
        <v>3.5958610223409029E-2</v>
      </c>
      <c r="S65" s="58">
        <v>6.6343783778927176E-2</v>
      </c>
      <c r="T65" s="58">
        <v>6.9535407076010344E-2</v>
      </c>
      <c r="U65" s="57">
        <v>9.6304460885396598E-2</v>
      </c>
      <c r="V65" s="58">
        <v>0.15900026987945176</v>
      </c>
      <c r="W65" s="58">
        <v>0.14396293054128856</v>
      </c>
      <c r="X65" s="37" t="str">
        <f>IF(OR(COUNTBLANK(A_Entry_Forecast[[#This Row],[REV_FY]])&lt;&gt;0,COUNTBLANK(A_Entry_Forecast[[#This Row],[REV_FY+1]])&lt;&gt;0),"N","Y")</f>
        <v>Y</v>
      </c>
      <c r="Y65" s="53"/>
      <c r="Z65" s="56"/>
      <c r="AA65" s="56"/>
      <c r="AB65" s="53"/>
      <c r="AC65" s="56"/>
      <c r="AD65" s="56"/>
      <c r="AE65" s="47">
        <f>VLOOKUP(A_Entry_Forecast[[#This Row],[Ticker]],[1]!A_Entry_Data[#Data],2,FALSE)</f>
        <v>28200</v>
      </c>
      <c r="AF65" s="40">
        <f>IF(A_Entry_Forecast[[#This Row],[Target Price]]&lt;&gt;0,A_Entry_Forecast[[#This Row],[Target Price]]/AE65-1,"")</f>
        <v>-5.3191489361702149E-2</v>
      </c>
      <c r="AH65" s="1" t="s">
        <v>128</v>
      </c>
      <c r="AI65" s="67">
        <v>18595.974253086999</v>
      </c>
      <c r="AJ65" s="67">
        <v>117.408565158</v>
      </c>
      <c r="AK65" s="67">
        <v>0</v>
      </c>
      <c r="AL65" s="67">
        <v>20598.3</v>
      </c>
      <c r="AM65" s="8">
        <v>9.1000000000000004E-3</v>
      </c>
      <c r="AN65" s="8">
        <v>2.1899999999999999E-2</v>
      </c>
    </row>
    <row r="66" spans="2:40" ht="15" x14ac:dyDescent="0.2">
      <c r="B66" s="49" t="s">
        <v>122</v>
      </c>
      <c r="C66" s="86" t="s">
        <v>119</v>
      </c>
      <c r="D66" s="51" t="s">
        <v>48</v>
      </c>
      <c r="E66" s="52">
        <v>17700</v>
      </c>
      <c r="F66" s="56">
        <v>41988.326090667339</v>
      </c>
      <c r="G66" s="61">
        <v>60550.12507891313</v>
      </c>
      <c r="H66" s="61">
        <v>64045.797624714054</v>
      </c>
      <c r="I66" s="56">
        <v>1562.508631536464</v>
      </c>
      <c r="J66" s="61">
        <v>2122.3377766318963</v>
      </c>
      <c r="K66" s="61">
        <v>1450.2711097275701</v>
      </c>
      <c r="L66" s="56">
        <v>667.22548105579642</v>
      </c>
      <c r="M66" s="61">
        <v>906.28481366124186</v>
      </c>
      <c r="N66" s="61">
        <v>619.29759575009393</v>
      </c>
      <c r="O66" s="56">
        <v>15512.887863490554</v>
      </c>
      <c r="P66" s="61">
        <v>16573.31378921491</v>
      </c>
      <c r="Q66" s="61">
        <v>17339.074844842115</v>
      </c>
      <c r="R66" s="57">
        <v>2.169589178965713E-2</v>
      </c>
      <c r="S66" s="58">
        <v>2.7015317046936181E-2</v>
      </c>
      <c r="T66" s="58">
        <v>1.9369857828145522E-2</v>
      </c>
      <c r="U66" s="57">
        <v>5.233198860222555E-2</v>
      </c>
      <c r="V66" s="58">
        <v>6.6098563937370167E-2</v>
      </c>
      <c r="W66" s="58">
        <v>4.5161139422551802E-2</v>
      </c>
      <c r="X66" s="37" t="str">
        <f>IF(OR(COUNTBLANK(A_Entry_Forecast[[#This Row],[REV_FY]])&lt;&gt;0,COUNTBLANK(A_Entry_Forecast[[#This Row],[REV_FY+1]])&lt;&gt;0),"N","Y")</f>
        <v>Y</v>
      </c>
      <c r="Y66" s="53"/>
      <c r="Z66" s="56"/>
      <c r="AA66" s="56"/>
      <c r="AB66" s="53"/>
      <c r="AC66" s="56"/>
      <c r="AD66" s="56"/>
      <c r="AE66" s="47">
        <f>VLOOKUP(A_Entry_Forecast[[#This Row],[Ticker]],[1]!A_Entry_Data[#Data],2,FALSE)</f>
        <v>16150</v>
      </c>
      <c r="AF66" s="40">
        <f>IF(A_Entry_Forecast[[#This Row],[Target Price]]&lt;&gt;0,A_Entry_Forecast[[#This Row],[Target Price]]/AE66-1,"")</f>
        <v>9.5975232198142413E-2</v>
      </c>
      <c r="AH66" s="1" t="s">
        <v>129</v>
      </c>
      <c r="AI66" s="67">
        <v>3081.3653724689998</v>
      </c>
      <c r="AJ66" s="67">
        <v>-193.68267886199999</v>
      </c>
      <c r="AK66" s="67">
        <v>-1572</v>
      </c>
      <c r="AL66" s="67">
        <v>15045.48</v>
      </c>
      <c r="AM66" s="8">
        <v>-4.99E-2</v>
      </c>
      <c r="AN66" s="8">
        <v>-9.9699999999999997E-2</v>
      </c>
    </row>
    <row r="67" spans="2:40" ht="15" x14ac:dyDescent="0.2">
      <c r="B67" s="49" t="s">
        <v>122</v>
      </c>
      <c r="C67" s="86" t="s">
        <v>130</v>
      </c>
      <c r="D67" s="51" t="s">
        <v>60</v>
      </c>
      <c r="E67" s="52">
        <v>67300</v>
      </c>
      <c r="F67" s="100">
        <v>10132.351062660471</v>
      </c>
      <c r="G67" s="103">
        <v>12098.9989829144</v>
      </c>
      <c r="H67" s="103">
        <v>11964.368236172606</v>
      </c>
      <c r="I67" s="100">
        <v>2486.9168827239628</v>
      </c>
      <c r="J67" s="103">
        <v>3043</v>
      </c>
      <c r="K67" s="103">
        <v>3954</v>
      </c>
      <c r="L67" s="100">
        <v>5279.41876102897</v>
      </c>
      <c r="M67" s="103">
        <v>6556.7218261297858</v>
      </c>
      <c r="N67" s="103">
        <v>8560.2304038862585</v>
      </c>
      <c r="O67" s="100">
        <v>54200.079179542656</v>
      </c>
      <c r="P67" s="103">
        <v>62262.309037359802</v>
      </c>
      <c r="Q67" s="103">
        <v>72410.526142663555</v>
      </c>
      <c r="R67" s="104">
        <v>8.3004920450693367E-2</v>
      </c>
      <c r="S67" s="105">
        <v>9.6570825029158605E-2</v>
      </c>
      <c r="T67" s="105">
        <v>0.11199138169147625</v>
      </c>
      <c r="U67" s="104">
        <v>0.12821126867675178</v>
      </c>
      <c r="V67" s="105">
        <v>0.1384520784994008</v>
      </c>
      <c r="W67" s="105">
        <v>0.15070919226937141</v>
      </c>
      <c r="X67" s="37" t="str">
        <f>IF(OR(COUNTBLANK(A_Entry_Forecast[[#This Row],[REV_FY]])&lt;&gt;0,COUNTBLANK(A_Entry_Forecast[[#This Row],[REV_FY+1]])&lt;&gt;0),"N","Y")</f>
        <v>Y</v>
      </c>
      <c r="Y67" s="53"/>
      <c r="Z67" s="56"/>
      <c r="AA67" s="56"/>
      <c r="AB67" s="53"/>
      <c r="AC67" s="56"/>
      <c r="AD67" s="56"/>
      <c r="AE67" s="47">
        <f>VLOOKUP(A_Entry_Forecast[[#This Row],[Ticker]],[1]!A_Entry_Data[#Data],2,FALSE)</f>
        <v>68600</v>
      </c>
      <c r="AF67" s="40">
        <f>IF(A_Entry_Forecast[[#This Row],[Target Price]]&lt;&gt;0,A_Entry_Forecast[[#This Row],[Target Price]]/AE67-1,"")</f>
        <v>-1.895043731778423E-2</v>
      </c>
      <c r="AH67" s="1" t="s">
        <v>131</v>
      </c>
      <c r="AI67" s="67">
        <v>13193.818428045999</v>
      </c>
      <c r="AJ67" s="67">
        <v>1218.0730607370001</v>
      </c>
      <c r="AK67" s="67">
        <v>0</v>
      </c>
      <c r="AL67" s="67">
        <v>17515.77</v>
      </c>
      <c r="AM67" s="8">
        <v>5.1799999999999999E-2</v>
      </c>
      <c r="AN67" s="8">
        <v>0.15029999999999999</v>
      </c>
    </row>
    <row r="68" spans="2:40" ht="15" x14ac:dyDescent="0.2">
      <c r="B68" s="49" t="s">
        <v>122</v>
      </c>
      <c r="C68" s="86" t="s">
        <v>123</v>
      </c>
      <c r="D68" s="51" t="s">
        <v>60</v>
      </c>
      <c r="E68" s="52">
        <v>41500</v>
      </c>
      <c r="F68" s="100">
        <v>4321.0147138397879</v>
      </c>
      <c r="G68" s="103">
        <v>4387.8945207207807</v>
      </c>
      <c r="H68" s="103">
        <v>4429.4507070305899</v>
      </c>
      <c r="I68" s="100">
        <v>7293.4831047503503</v>
      </c>
      <c r="J68" s="103">
        <v>7444.5010130509536</v>
      </c>
      <c r="K68" s="103">
        <v>7541.2654387102557</v>
      </c>
      <c r="L68" s="100">
        <v>5488.7741607091739</v>
      </c>
      <c r="M68" s="103">
        <v>5602.4240013929521</v>
      </c>
      <c r="N68" s="103">
        <v>5675.2449117325832</v>
      </c>
      <c r="O68" s="100">
        <v>19802.284336495417</v>
      </c>
      <c r="P68" s="103">
        <v>19860.106483905376</v>
      </c>
      <c r="Q68" s="103">
        <v>19918.680209812632</v>
      </c>
      <c r="R68" s="104">
        <v>0.26691026886192309</v>
      </c>
      <c r="S68" s="105">
        <v>0.27156913879094158</v>
      </c>
      <c r="T68" s="105">
        <v>0.27428110166501918</v>
      </c>
      <c r="U68" s="104">
        <v>0.28044071133591336</v>
      </c>
      <c r="V68" s="105">
        <v>0.28542132895788513</v>
      </c>
      <c r="W68" s="105">
        <v>0.28828524518800064</v>
      </c>
      <c r="X68" s="37" t="str">
        <f>IF(OR(COUNTBLANK(A_Entry_Forecast[[#This Row],[REV_FY]])&lt;&gt;0,COUNTBLANK(A_Entry_Forecast[[#This Row],[REV_FY+1]])&lt;&gt;0),"N","Y")</f>
        <v>Y</v>
      </c>
      <c r="Y68" s="53"/>
      <c r="Z68" s="56"/>
      <c r="AA68" s="56"/>
      <c r="AB68" s="53"/>
      <c r="AC68" s="56"/>
      <c r="AD68" s="56"/>
      <c r="AE68" s="47">
        <f>VLOOKUP(A_Entry_Forecast[[#This Row],[Ticker]],[1]!A_Entry_Data[#Data],2,FALSE)</f>
        <v>39300</v>
      </c>
      <c r="AF68" s="40">
        <f>IF(A_Entry_Forecast[[#This Row],[Target Price]]&lt;&gt;0,A_Entry_Forecast[[#This Row],[Target Price]]/AE68-1,"")</f>
        <v>5.5979643765903253E-2</v>
      </c>
      <c r="AH68" s="1" t="s">
        <v>132</v>
      </c>
      <c r="AI68" s="67">
        <v>11110.000756812</v>
      </c>
      <c r="AJ68" s="67">
        <v>25.007194214999998</v>
      </c>
      <c r="AK68" s="67">
        <v>103</v>
      </c>
      <c r="AL68" s="67">
        <v>19281.810000000001</v>
      </c>
      <c r="AM68" s="8">
        <v>1.9E-3</v>
      </c>
      <c r="AN68" s="8">
        <v>5.4000000000000003E-3</v>
      </c>
    </row>
    <row r="69" spans="2:40" x14ac:dyDescent="0.2">
      <c r="B69" s="49" t="s">
        <v>122</v>
      </c>
      <c r="C69" s="51" t="s">
        <v>131</v>
      </c>
      <c r="D69" s="51" t="s">
        <v>60</v>
      </c>
      <c r="E69" s="106">
        <v>46100</v>
      </c>
      <c r="F69" s="56">
        <v>12419.734485362647</v>
      </c>
      <c r="G69" s="61">
        <v>12210.714048534817</v>
      </c>
      <c r="H69" s="61">
        <v>13665.983263064805</v>
      </c>
      <c r="I69" s="56">
        <v>1109.8260013156537</v>
      </c>
      <c r="J69" s="61">
        <v>1068.2900394628464</v>
      </c>
      <c r="K69" s="61">
        <v>1113.5522865769519</v>
      </c>
      <c r="L69" s="56">
        <v>2475.0802883935185</v>
      </c>
      <c r="M69" s="61">
        <v>2382.4487945201749</v>
      </c>
      <c r="N69" s="61">
        <v>2483.3904696185368</v>
      </c>
      <c r="O69" s="56">
        <v>24110.108001605829</v>
      </c>
      <c r="P69" s="61">
        <v>26754.250843487414</v>
      </c>
      <c r="Q69" s="61">
        <v>29465.529085222715</v>
      </c>
      <c r="R69" s="57">
        <v>5.0983534831844375E-2</v>
      </c>
      <c r="S69" s="105">
        <v>4.4888865705937822E-2</v>
      </c>
      <c r="T69" s="58">
        <v>4.3812189071059979E-2</v>
      </c>
      <c r="U69" s="57">
        <v>0.12437947315049287</v>
      </c>
      <c r="V69" s="58">
        <v>0.10396839366182864</v>
      </c>
      <c r="W69" s="58">
        <v>9.6452823016146841E-2</v>
      </c>
      <c r="X69" s="37" t="str">
        <f>IF(OR(COUNTBLANK(A_Entry_Forecast[[#This Row],[REV_FY]])&lt;&gt;0,COUNTBLANK(A_Entry_Forecast[[#This Row],[REV_FY+1]])&lt;&gt;0),"N","Y")</f>
        <v>Y</v>
      </c>
      <c r="Y69" s="53"/>
      <c r="Z69" s="56"/>
      <c r="AA69" s="56"/>
      <c r="AB69" s="53"/>
      <c r="AC69" s="56"/>
      <c r="AD69" s="56"/>
      <c r="AE69" s="47">
        <f>VLOOKUP(A_Entry_Forecast[[#This Row],[Ticker]],[1]!A_Entry_Data[#Data],2,FALSE)</f>
        <v>66300</v>
      </c>
      <c r="AF69" s="40">
        <f>IF(A_Entry_Forecast[[#This Row],[Target Price]]&lt;&gt;0,A_Entry_Forecast[[#This Row],[Target Price]]/AE69-1,"")</f>
        <v>-0.30467571644042235</v>
      </c>
      <c r="AH69" s="1" t="s">
        <v>133</v>
      </c>
      <c r="AI69" s="67">
        <v>18817.475347721</v>
      </c>
      <c r="AJ69" s="67">
        <v>354.389096892</v>
      </c>
      <c r="AK69" s="67">
        <v>2123</v>
      </c>
      <c r="AL69" s="67">
        <v>15515.86</v>
      </c>
      <c r="AM69" s="8">
        <v>5.1200000000000002E-2</v>
      </c>
      <c r="AN69" s="8">
        <v>0.1454</v>
      </c>
    </row>
    <row r="70" spans="2:40" x14ac:dyDescent="0.2">
      <c r="B70" s="107" t="s">
        <v>97</v>
      </c>
      <c r="C70" s="108" t="s">
        <v>84</v>
      </c>
      <c r="D70" s="109" t="s">
        <v>48</v>
      </c>
      <c r="E70" s="110">
        <v>38600</v>
      </c>
      <c r="F70" s="111">
        <v>36151</v>
      </c>
      <c r="G70" s="111">
        <v>43138</v>
      </c>
      <c r="H70" s="111">
        <v>20213</v>
      </c>
      <c r="I70" s="111">
        <v>1177</v>
      </c>
      <c r="J70" s="111">
        <v>1061</v>
      </c>
      <c r="K70" s="111">
        <v>1246</v>
      </c>
      <c r="L70" s="111">
        <v>1847</v>
      </c>
      <c r="M70" s="111">
        <v>1665</v>
      </c>
      <c r="N70" s="111">
        <v>1955</v>
      </c>
      <c r="O70" s="111">
        <v>27850</v>
      </c>
      <c r="P70" s="111">
        <v>30060</v>
      </c>
      <c r="Q70" s="111"/>
      <c r="R70" s="112">
        <v>4.7E-2</v>
      </c>
      <c r="S70" s="113">
        <v>0.04</v>
      </c>
      <c r="T70" s="113">
        <v>3.6999999999999998E-2</v>
      </c>
      <c r="U70" s="112">
        <v>0.09</v>
      </c>
      <c r="V70" s="113">
        <v>0.08</v>
      </c>
      <c r="W70" s="113">
        <v>0.08</v>
      </c>
      <c r="X70" s="69" t="str">
        <f>IF(OR(COUNTBLANK(A_Entry_Forecast[[#This Row],[REV_FY]])&lt;&gt;0,COUNTBLANK(A_Entry_Forecast[[#This Row],[REV_FY+1]])&lt;&gt;0),"N","Y")</f>
        <v>Y</v>
      </c>
      <c r="Y70" s="114"/>
      <c r="Z70" s="111"/>
      <c r="AA70" s="111"/>
      <c r="AB70" s="114"/>
      <c r="AC70" s="111"/>
      <c r="AD70" s="111"/>
      <c r="AE70" s="47">
        <f>VLOOKUP(A_Entry_Forecast[[#This Row],[Ticker]],[1]!A_Entry_Data[#Data],2,FALSE)</f>
        <v>37900</v>
      </c>
      <c r="AF70" s="40">
        <f>IF(A_Entry_Forecast[[#This Row],[Target Price]]&lt;&gt;0,A_Entry_Forecast[[#This Row],[Target Price]]/AE70-1,"")</f>
        <v>1.846965699208436E-2</v>
      </c>
      <c r="AH70" s="1" t="s">
        <v>134</v>
      </c>
      <c r="AI70" s="67">
        <v>118279.788455442</v>
      </c>
      <c r="AJ70" s="67">
        <v>167.66939270399999</v>
      </c>
      <c r="AK70" s="67">
        <v>115</v>
      </c>
      <c r="AL70" s="67">
        <v>15953.62</v>
      </c>
      <c r="AM70" s="8">
        <v>2.8999999999999998E-3</v>
      </c>
      <c r="AN70" s="8">
        <v>7.1000000000000004E-3</v>
      </c>
    </row>
    <row r="71" spans="2:40" x14ac:dyDescent="0.2">
      <c r="B71" s="107" t="s">
        <v>97</v>
      </c>
      <c r="C71" s="108" t="s">
        <v>87</v>
      </c>
      <c r="D71" s="109" t="s">
        <v>48</v>
      </c>
      <c r="E71" s="110">
        <v>80200</v>
      </c>
      <c r="F71" s="111">
        <v>108710</v>
      </c>
      <c r="G71" s="111">
        <v>119613</v>
      </c>
      <c r="H71" s="111">
        <v>122242</v>
      </c>
      <c r="I71" s="111">
        <v>13131</v>
      </c>
      <c r="J71" s="111">
        <v>12278</v>
      </c>
      <c r="K71" s="111">
        <v>12620</v>
      </c>
      <c r="L71" s="111">
        <v>5605</v>
      </c>
      <c r="M71" s="61">
        <v>5241</v>
      </c>
      <c r="N71" s="61">
        <v>5387</v>
      </c>
      <c r="O71" s="111">
        <v>26696</v>
      </c>
      <c r="P71" s="111">
        <v>27887</v>
      </c>
      <c r="Q71" s="111"/>
      <c r="R71" s="112">
        <v>0.15</v>
      </c>
      <c r="S71" s="113">
        <v>0.15</v>
      </c>
      <c r="T71" s="113">
        <v>0.15</v>
      </c>
      <c r="U71" s="112">
        <v>0.18</v>
      </c>
      <c r="V71" s="113">
        <v>0.16</v>
      </c>
      <c r="W71" s="113">
        <v>0.16</v>
      </c>
      <c r="X71" s="69" t="str">
        <f>IF(OR(COUNTBLANK(A_Entry_Forecast[[#This Row],[REV_FY]])&lt;&gt;0,COUNTBLANK(A_Entry_Forecast[[#This Row],[REV_FY+1]])&lt;&gt;0),"N","Y")</f>
        <v>Y</v>
      </c>
      <c r="Y71" s="114"/>
      <c r="Z71" s="111"/>
      <c r="AA71" s="111"/>
      <c r="AB71" s="114"/>
      <c r="AC71" s="111"/>
      <c r="AD71" s="111"/>
      <c r="AE71" s="60">
        <f>VLOOKUP(A_Entry_Forecast[[#This Row],[Ticker]],[1]!A_Entry_Data[#Data],2,FALSE)</f>
        <v>70500</v>
      </c>
      <c r="AF71" s="40">
        <f>IF(A_Entry_Forecast[[#This Row],[Target Price]]&lt;&gt;0,A_Entry_Forecast[[#This Row],[Target Price]]/AE71-1,"")</f>
        <v>0.13758865248226959</v>
      </c>
      <c r="AH71" s="1" t="s">
        <v>135</v>
      </c>
      <c r="AI71" s="7">
        <v>33136.929196429002</v>
      </c>
      <c r="AJ71" s="7">
        <v>1971.4841451350001</v>
      </c>
      <c r="AK71" s="7">
        <v>5435</v>
      </c>
      <c r="AL71" s="7">
        <v>29882.65</v>
      </c>
      <c r="AM71" s="8">
        <v>0.14199999999999999</v>
      </c>
      <c r="AN71" s="8">
        <v>0.216</v>
      </c>
    </row>
    <row r="72" spans="2:40" x14ac:dyDescent="0.2">
      <c r="B72" s="107" t="s">
        <v>97</v>
      </c>
      <c r="C72" s="115" t="s">
        <v>136</v>
      </c>
      <c r="D72" s="109" t="s">
        <v>48</v>
      </c>
      <c r="E72" s="110">
        <v>38700</v>
      </c>
      <c r="F72" s="116">
        <v>480</v>
      </c>
      <c r="G72" s="116">
        <v>1510</v>
      </c>
      <c r="H72" s="116"/>
      <c r="I72" s="116">
        <v>56</v>
      </c>
      <c r="J72" s="116">
        <v>163</v>
      </c>
      <c r="K72" s="116"/>
      <c r="L72" s="116">
        <v>2464</v>
      </c>
      <c r="M72" s="116">
        <v>7175</v>
      </c>
      <c r="N72" s="116"/>
      <c r="O72" s="116">
        <v>21806</v>
      </c>
      <c r="P72" s="116">
        <v>28900</v>
      </c>
      <c r="Q72" s="116"/>
      <c r="R72" s="112">
        <v>0.03</v>
      </c>
      <c r="S72" s="112">
        <v>0.13</v>
      </c>
      <c r="T72" s="112"/>
      <c r="U72" s="112">
        <v>0.11</v>
      </c>
      <c r="V72" s="112">
        <v>0.28000000000000003</v>
      </c>
      <c r="W72" s="112"/>
      <c r="X72" s="69" t="str">
        <f>IF(OR(COUNTBLANK(A_Entry_Forecast[[#This Row],[REV_FY]])&lt;&gt;0,COUNTBLANK(A_Entry_Forecast[[#This Row],[REV_FY+1]])&lt;&gt;0),"N","Y")</f>
        <v>Y</v>
      </c>
      <c r="Y72" s="110"/>
      <c r="Z72" s="116"/>
      <c r="AA72" s="116"/>
      <c r="AB72" s="110"/>
      <c r="AC72" s="116"/>
      <c r="AD72" s="116"/>
      <c r="AE72" s="60">
        <f>VLOOKUP(A_Entry_Forecast[[#This Row],[Ticker]],[1]!A_Entry_Data[#Data],2,FALSE)</f>
        <v>30800</v>
      </c>
      <c r="AF72" s="40">
        <f>IF(A_Entry_Forecast[[#This Row],[Target Price]]&lt;&gt;0,A_Entry_Forecast[[#This Row],[Target Price]]/AE72-1,"")</f>
        <v>0.25649350649350655</v>
      </c>
      <c r="AH72" s="1" t="s">
        <v>137</v>
      </c>
      <c r="AI72" s="7">
        <v>19589.872717154001</v>
      </c>
      <c r="AJ72" s="7">
        <v>380.24379589</v>
      </c>
      <c r="AK72" s="7">
        <v>2654</v>
      </c>
      <c r="AL72" s="7">
        <v>12986.17</v>
      </c>
      <c r="AM72" s="8">
        <v>6.08E-2</v>
      </c>
      <c r="AN72" s="8">
        <v>0.25590000000000002</v>
      </c>
    </row>
    <row r="73" spans="2:40" x14ac:dyDescent="0.2">
      <c r="B73" s="49" t="s">
        <v>138</v>
      </c>
      <c r="C73" s="117" t="s">
        <v>139</v>
      </c>
      <c r="D73" s="51" t="s">
        <v>48</v>
      </c>
      <c r="E73" s="73">
        <v>32300</v>
      </c>
      <c r="F73" s="118">
        <v>173016.06856444062</v>
      </c>
      <c r="G73" s="118">
        <v>217293.39469760348</v>
      </c>
      <c r="H73" s="118"/>
      <c r="I73" s="118">
        <v>15816.642425681932</v>
      </c>
      <c r="J73" s="118">
        <v>22693.427169644921</v>
      </c>
      <c r="K73" s="118"/>
      <c r="L73" s="118">
        <v>2472.7937680539162</v>
      </c>
      <c r="M73" s="118">
        <v>3547.9189432623175</v>
      </c>
      <c r="N73" s="118"/>
      <c r="O73" s="118">
        <v>20395.985246538083</v>
      </c>
      <c r="P73" s="118">
        <v>23942.561417024619</v>
      </c>
      <c r="Q73" s="118"/>
      <c r="R73" s="119">
        <v>6.3580475393769778E-2</v>
      </c>
      <c r="S73" s="119">
        <v>7.6010430097619167E-2</v>
      </c>
      <c r="T73" s="119"/>
      <c r="U73" s="119">
        <v>0.12123924086842712</v>
      </c>
      <c r="V73" s="119">
        <v>0.14818460236838032</v>
      </c>
      <c r="W73" s="119"/>
      <c r="X73" s="69" t="str">
        <f>IF(OR(COUNTBLANK(A_Entry_Forecast[[#This Row],[REV_FY]])&lt;&gt;0,COUNTBLANK(A_Entry_Forecast[[#This Row],[REV_FY+1]])&lt;&gt;0),"N","Y")</f>
        <v>Y</v>
      </c>
      <c r="Y73" s="53"/>
      <c r="Z73" s="59"/>
      <c r="AA73" s="59"/>
      <c r="AB73" s="53"/>
      <c r="AC73" s="59"/>
      <c r="AD73" s="59"/>
      <c r="AE73" s="47"/>
      <c r="AF73" s="40"/>
      <c r="AI73" s="67"/>
      <c r="AJ73" s="67"/>
      <c r="AK73" s="67"/>
      <c r="AL73" s="67"/>
    </row>
    <row r="74" spans="2:40" x14ac:dyDescent="0.2">
      <c r="B74" s="49" t="s">
        <v>138</v>
      </c>
      <c r="C74" s="117" t="s">
        <v>126</v>
      </c>
      <c r="D74" s="51" t="s">
        <v>60</v>
      </c>
      <c r="E74" s="73">
        <v>19900</v>
      </c>
      <c r="F74" s="120">
        <v>37911.722685378576</v>
      </c>
      <c r="G74" s="120">
        <v>39852.354629288704</v>
      </c>
      <c r="H74" s="120"/>
      <c r="I74" s="120">
        <v>740.81612055842879</v>
      </c>
      <c r="J74" s="120">
        <v>705.1480294020655</v>
      </c>
      <c r="K74" s="120"/>
      <c r="L74" s="120">
        <v>1192.9745981836477</v>
      </c>
      <c r="M74" s="120">
        <v>1135.5364221850407</v>
      </c>
      <c r="N74" s="120"/>
      <c r="O74" s="120">
        <v>18767.305074915475</v>
      </c>
      <c r="P74" s="120">
        <v>19906.004896573464</v>
      </c>
      <c r="Q74" s="120"/>
      <c r="R74" s="121">
        <v>3.6596329061038983E-2</v>
      </c>
      <c r="S74" s="121">
        <v>3.3242790566819884E-2</v>
      </c>
      <c r="T74" s="121"/>
      <c r="U74" s="121">
        <v>6.3569697280231124E-2</v>
      </c>
      <c r="V74" s="121">
        <v>5.7047796997929577E-2</v>
      </c>
      <c r="W74" s="121"/>
      <c r="X74" s="69" t="str">
        <f>IF(OR(COUNTBLANK(A_Entry_Forecast[[#This Row],[REV_FY]])&lt;&gt;0,COUNTBLANK(A_Entry_Forecast[[#This Row],[REV_FY+1]])&lt;&gt;0),"N","Y")</f>
        <v>Y</v>
      </c>
      <c r="Y74" s="75"/>
      <c r="Z74" s="59"/>
      <c r="AA74" s="59"/>
      <c r="AB74" s="75"/>
      <c r="AC74" s="59"/>
      <c r="AD74" s="59"/>
      <c r="AE74" s="47">
        <f>VLOOKUP(A_Entry_Forecast[[#This Row],[Ticker]],[1]!A_Entry_Data[#Data],2,FALSE)</f>
        <v>19850</v>
      </c>
      <c r="AF74" s="40">
        <f>IF(A_Entry_Forecast[[#This Row],[Target Price]]&lt;&gt;0,A_Entry_Forecast[[#This Row],[Target Price]]/AE74-1,"")</f>
        <v>2.5188916876575096E-3</v>
      </c>
      <c r="AH74" s="1" t="s">
        <v>140</v>
      </c>
      <c r="AI74" s="67">
        <v>9487.0019309979998</v>
      </c>
      <c r="AJ74" s="67">
        <v>980.25009794000005</v>
      </c>
      <c r="AK74" s="67">
        <v>3029</v>
      </c>
      <c r="AL74" s="67">
        <v>22879.05</v>
      </c>
      <c r="AM74" s="8">
        <v>6.1800000000000001E-2</v>
      </c>
      <c r="AN74" s="8">
        <v>0.18479999999999999</v>
      </c>
    </row>
    <row r="75" spans="2:40" x14ac:dyDescent="0.2">
      <c r="B75" s="49" t="s">
        <v>138</v>
      </c>
      <c r="C75" s="117" t="s">
        <v>128</v>
      </c>
      <c r="D75" s="51" t="s">
        <v>60</v>
      </c>
      <c r="E75" s="52">
        <v>14400</v>
      </c>
      <c r="F75" s="122">
        <v>16996.154601796028</v>
      </c>
      <c r="G75" s="122">
        <v>29707.73641899545</v>
      </c>
      <c r="H75" s="122"/>
      <c r="I75" s="122">
        <v>300.58268860286302</v>
      </c>
      <c r="J75" s="122">
        <v>256.00340901672286</v>
      </c>
      <c r="K75" s="122"/>
      <c r="L75" s="122">
        <v>671.58678404474449</v>
      </c>
      <c r="M75" s="122">
        <v>571.98405858026058</v>
      </c>
      <c r="N75" s="122"/>
      <c r="O75" s="122">
        <v>14378.207658857642</v>
      </c>
      <c r="P75" s="122">
        <v>14950.191717437903</v>
      </c>
      <c r="Q75" s="122"/>
      <c r="R75" s="123">
        <v>1.9066949447723497E-2</v>
      </c>
      <c r="S75" s="123">
        <v>1.0993627882397456E-2</v>
      </c>
      <c r="T75" s="123"/>
      <c r="U75" s="123">
        <v>4.6708657989858425E-2</v>
      </c>
      <c r="V75" s="123">
        <v>3.8253595675004505E-2</v>
      </c>
      <c r="W75" s="123"/>
      <c r="X75" s="69" t="str">
        <f>IF(OR(COUNTBLANK(A_Entry_Forecast[[#This Row],[REV_FY]])&lt;&gt;0,COUNTBLANK(A_Entry_Forecast[[#This Row],[REV_FY+1]])&lt;&gt;0),"N","Y")</f>
        <v>Y</v>
      </c>
      <c r="Y75" s="52"/>
      <c r="Z75" s="59"/>
      <c r="AA75" s="59"/>
      <c r="AB75" s="52"/>
      <c r="AC75" s="59"/>
      <c r="AD75" s="59"/>
      <c r="AE75" s="47">
        <v>54000</v>
      </c>
      <c r="AF75" s="40">
        <f>IF(A_Entry_Forecast[[#This Row],[Target Price]]&lt;&gt;0,A_Entry_Forecast[[#This Row],[Target Price]]/AE75-1,"")</f>
        <v>-0.73333333333333339</v>
      </c>
      <c r="AH75" s="1" t="s">
        <v>116</v>
      </c>
      <c r="AI75" s="67">
        <v>10022.843513108</v>
      </c>
      <c r="AJ75" s="67">
        <v>2189.477768233</v>
      </c>
      <c r="AK75" s="67">
        <v>7192</v>
      </c>
      <c r="AL75" s="67">
        <v>24056.07</v>
      </c>
      <c r="AM75" s="8">
        <v>0.1961</v>
      </c>
      <c r="AN75" s="8">
        <v>0.27279999999999999</v>
      </c>
    </row>
    <row r="76" spans="2:40" x14ac:dyDescent="0.2">
      <c r="B76" s="49" t="s">
        <v>138</v>
      </c>
      <c r="C76" s="124" t="s">
        <v>141</v>
      </c>
      <c r="D76" s="51" t="s">
        <v>60</v>
      </c>
      <c r="E76" s="99">
        <v>66000</v>
      </c>
      <c r="F76" s="61">
        <v>6448.4827485242995</v>
      </c>
      <c r="G76" s="61">
        <v>7093.3310233767306</v>
      </c>
      <c r="H76" s="61"/>
      <c r="I76" s="61">
        <v>957.08258793165487</v>
      </c>
      <c r="J76" s="61">
        <v>1070.9820305174876</v>
      </c>
      <c r="K76" s="61"/>
      <c r="L76" s="61">
        <v>6064.5021918946986</v>
      </c>
      <c r="M76" s="61">
        <v>7513.9610512204208</v>
      </c>
      <c r="N76" s="61"/>
      <c r="O76" s="61">
        <v>31528.867270075145</v>
      </c>
      <c r="P76" s="61">
        <v>38133.73369119758</v>
      </c>
      <c r="Q76" s="61"/>
      <c r="R76" s="58">
        <v>0.1224828513502583</v>
      </c>
      <c r="S76" s="58">
        <v>0.11896106550459738</v>
      </c>
      <c r="T76" s="58"/>
      <c r="U76" s="58">
        <v>0.21297459570579044</v>
      </c>
      <c r="V76" s="58">
        <v>0.19704236443427176</v>
      </c>
      <c r="W76" s="58"/>
      <c r="X76" s="69" t="str">
        <f>IF(OR(COUNTBLANK(A_Entry_Forecast[[#This Row],[REV_FY]])&lt;&gt;0,COUNTBLANK(A_Entry_Forecast[[#This Row],[REV_FY+1]])&lt;&gt;0),"N","Y")</f>
        <v>Y</v>
      </c>
      <c r="Y76" s="59"/>
      <c r="Z76" s="59"/>
      <c r="AA76" s="59"/>
      <c r="AB76" s="59"/>
      <c r="AC76" s="59"/>
      <c r="AD76" s="59"/>
      <c r="AE76" s="47">
        <f>VLOOKUP(A_Entry_Forecast[[#This Row],[Ticker]],[1]!A_Entry_Data[#Data],2,FALSE)</f>
        <v>65600</v>
      </c>
      <c r="AF76" s="40">
        <f>IF(A_Entry_Forecast[[#This Row],[Target Price]]&lt;&gt;0,A_Entry_Forecast[[#This Row],[Target Price]]/AE76-1,"")</f>
        <v>6.0975609756097615E-3</v>
      </c>
      <c r="AH76" s="1" t="s">
        <v>118</v>
      </c>
      <c r="AI76" s="67">
        <v>30461.367282215</v>
      </c>
      <c r="AJ76" s="67">
        <v>4117.6050686879998</v>
      </c>
      <c r="AK76" s="67">
        <v>3132</v>
      </c>
      <c r="AL76" s="67">
        <v>18878.080000000002</v>
      </c>
      <c r="AM76" s="8">
        <v>0.1202</v>
      </c>
      <c r="AN76" s="8">
        <v>0.1797</v>
      </c>
    </row>
    <row r="77" spans="2:40" x14ac:dyDescent="0.2">
      <c r="B77" s="49" t="s">
        <v>138</v>
      </c>
      <c r="C77" s="124" t="s">
        <v>142</v>
      </c>
      <c r="D77" s="51" t="s">
        <v>48</v>
      </c>
      <c r="E77" s="61">
        <v>96200</v>
      </c>
      <c r="F77" s="125">
        <v>24866.699280000001</v>
      </c>
      <c r="G77" s="125">
        <v>29750</v>
      </c>
      <c r="H77" s="125"/>
      <c r="I77" s="125">
        <v>453.83783979999998</v>
      </c>
      <c r="J77" s="125">
        <v>433.18357260815606</v>
      </c>
      <c r="K77" s="125"/>
      <c r="L77" s="125">
        <v>4541.5568519784256</v>
      </c>
      <c r="M77" s="125">
        <v>4334.8695278693358</v>
      </c>
      <c r="N77" s="125"/>
      <c r="O77" s="125">
        <v>89690.770982980146</v>
      </c>
      <c r="P77" s="125">
        <v>94012.642514819338</v>
      </c>
      <c r="Q77" s="126"/>
      <c r="R77" s="126">
        <v>1.534117025994659E-2</v>
      </c>
      <c r="S77" s="126">
        <v>1.3599236118593504E-2</v>
      </c>
      <c r="T77" s="126"/>
      <c r="U77" s="126">
        <v>5.0635720957736427E-2</v>
      </c>
      <c r="V77" s="126">
        <v>4.6109431794622992E-2</v>
      </c>
      <c r="W77" s="126"/>
      <c r="X77" s="69" t="str">
        <f>IF(OR(COUNTBLANK(A_Entry_Forecast[[#This Row],[REV_FY]])&lt;&gt;0,COUNTBLANK(A_Entry_Forecast[[#This Row],[REV_FY+1]])&lt;&gt;0),"N","Y")</f>
        <v>Y</v>
      </c>
      <c r="Y77" s="52"/>
      <c r="Z77" s="59"/>
      <c r="AA77" s="59"/>
      <c r="AB77" s="52"/>
      <c r="AC77" s="59"/>
      <c r="AD77" s="59"/>
      <c r="AE77" s="47">
        <f>VLOOKUP(A_Entry_Forecast[[#This Row],[Ticker]],[1]!A_Entry_Data[#Data],2,FALSE)</f>
        <v>82700</v>
      </c>
      <c r="AF77" s="40">
        <f>IF(A_Entry_Forecast[[#This Row],[Target Price]]&lt;&gt;0,A_Entry_Forecast[[#This Row],[Target Price]]/AE77-1,"")</f>
        <v>0.16324062877871826</v>
      </c>
      <c r="AH77" s="1" t="s">
        <v>143</v>
      </c>
      <c r="AI77" s="67">
        <v>704.82514689499999</v>
      </c>
      <c r="AJ77" s="67">
        <v>498.30730710400002</v>
      </c>
      <c r="AK77" s="67">
        <v>0</v>
      </c>
      <c r="AL77" s="67">
        <v>12473.13</v>
      </c>
      <c r="AM77" s="8">
        <v>0.30580000000000002</v>
      </c>
      <c r="AN77" s="8">
        <v>0.35949999999999999</v>
      </c>
    </row>
    <row r="78" spans="2:40" x14ac:dyDescent="0.2">
      <c r="B78" s="49" t="s">
        <v>138</v>
      </c>
      <c r="C78" s="124" t="s">
        <v>124</v>
      </c>
      <c r="D78" s="51" t="s">
        <v>60</v>
      </c>
      <c r="E78" s="61">
        <v>151200</v>
      </c>
      <c r="F78" s="118">
        <v>5654.2080000000005</v>
      </c>
      <c r="G78" s="118">
        <v>5908.6473600000008</v>
      </c>
      <c r="H78" s="118"/>
      <c r="I78" s="118">
        <v>1237.4429253516264</v>
      </c>
      <c r="J78" s="118">
        <v>1126.2410899606955</v>
      </c>
      <c r="K78" s="118"/>
      <c r="L78" s="118">
        <v>15116.402958290391</v>
      </c>
      <c r="M78" s="118">
        <v>13757.979293624699</v>
      </c>
      <c r="N78" s="118"/>
      <c r="O78" s="118">
        <v>36119.933897552291</v>
      </c>
      <c r="P78" s="118">
        <v>36877.913191176987</v>
      </c>
      <c r="Q78" s="118"/>
      <c r="R78" s="119">
        <v>0.34840588101953884</v>
      </c>
      <c r="S78" s="119">
        <v>0.3062516653308105</v>
      </c>
      <c r="T78" s="119"/>
      <c r="U78" s="119">
        <v>0.41850583118909773</v>
      </c>
      <c r="V78" s="119">
        <v>0.37306827049303559</v>
      </c>
      <c r="W78" s="119"/>
      <c r="X78" s="37" t="str">
        <f>IF(OR(COUNTBLANK(A_Entry_Forecast[[#This Row],[REV_FY]])&lt;&gt;0,COUNTBLANK(A_Entry_Forecast[[#This Row],[REV_FY+1]])&lt;&gt;0),"N","Y")</f>
        <v>Y</v>
      </c>
      <c r="Y78" s="52"/>
      <c r="Z78" s="59"/>
      <c r="AA78" s="59"/>
      <c r="AB78" s="52"/>
      <c r="AC78" s="127"/>
      <c r="AD78" s="59"/>
      <c r="AE78" s="47"/>
      <c r="AF78" s="40"/>
      <c r="AI78" s="67"/>
      <c r="AJ78" s="67"/>
      <c r="AK78" s="67"/>
      <c r="AL78" s="67"/>
    </row>
    <row r="79" spans="2:40" x14ac:dyDescent="0.2">
      <c r="B79" s="41" t="s">
        <v>144</v>
      </c>
      <c r="C79" s="43" t="s">
        <v>145</v>
      </c>
      <c r="D79" s="43" t="s">
        <v>75</v>
      </c>
      <c r="E79" s="44"/>
      <c r="F79" s="128">
        <v>4962</v>
      </c>
      <c r="G79" s="128">
        <v>5537</v>
      </c>
      <c r="H79" s="128"/>
      <c r="I79" s="128">
        <v>525</v>
      </c>
      <c r="J79" s="128">
        <v>561</v>
      </c>
      <c r="K79" s="128"/>
      <c r="L79" s="128">
        <v>2108</v>
      </c>
      <c r="M79" s="128">
        <v>2247</v>
      </c>
      <c r="N79" s="128"/>
      <c r="O79" s="128">
        <v>14680</v>
      </c>
      <c r="P79" s="128">
        <v>16411</v>
      </c>
      <c r="Q79" s="128"/>
      <c r="R79" s="129">
        <v>4.4999999999999998E-2</v>
      </c>
      <c r="S79" s="130">
        <v>4.8000000000000001E-2</v>
      </c>
      <c r="T79" s="130"/>
      <c r="U79" s="129">
        <v>0.10299999999999999</v>
      </c>
      <c r="V79" s="130">
        <v>0.106</v>
      </c>
      <c r="W79" s="130"/>
      <c r="X79" s="37" t="str">
        <f>IF(OR(COUNTBLANK(A_Entry_Forecast[[#This Row],[REV_FY]])&lt;&gt;0,COUNTBLANK(A_Entry_Forecast[[#This Row],[REV_FY+1]])&lt;&gt;0),"N","Y")</f>
        <v>Y</v>
      </c>
      <c r="Y79" s="45"/>
      <c r="Z79" s="76"/>
      <c r="AA79" s="76"/>
      <c r="AB79" s="45"/>
      <c r="AC79" s="131"/>
      <c r="AD79" s="76"/>
      <c r="AE79" s="47"/>
      <c r="AF79" s="40"/>
    </row>
    <row r="80" spans="2:40" x14ac:dyDescent="0.2">
      <c r="B80" s="41" t="s">
        <v>144</v>
      </c>
      <c r="C80" s="43" t="s">
        <v>132</v>
      </c>
      <c r="D80" s="43" t="s">
        <v>48</v>
      </c>
      <c r="E80" s="44">
        <v>32200</v>
      </c>
      <c r="F80" s="76">
        <v>15152</v>
      </c>
      <c r="G80" s="76">
        <v>16823</v>
      </c>
      <c r="H80" s="76"/>
      <c r="I80" s="76">
        <v>1643</v>
      </c>
      <c r="J80" s="76">
        <v>1763</v>
      </c>
      <c r="K80" s="76"/>
      <c r="L80" s="76">
        <v>3634</v>
      </c>
      <c r="M80" s="76">
        <v>3898</v>
      </c>
      <c r="N80" s="76"/>
      <c r="O80" s="76">
        <v>24637</v>
      </c>
      <c r="P80" s="76">
        <v>29378</v>
      </c>
      <c r="Q80" s="76"/>
      <c r="R80" s="77">
        <v>0.1</v>
      </c>
      <c r="S80" s="78">
        <v>0.1</v>
      </c>
      <c r="T80" s="78"/>
      <c r="U80" s="77">
        <v>0.19</v>
      </c>
      <c r="V80" s="78">
        <v>0.18</v>
      </c>
      <c r="W80" s="78"/>
      <c r="X80" s="37" t="str">
        <f>IF(OR(COUNTBLANK(A_Entry_Forecast[[#This Row],[REV_FY]])&lt;&gt;0,COUNTBLANK(A_Entry_Forecast[[#This Row],[REV_FY+1]])&lt;&gt;0),"N","Y")</f>
        <v>Y</v>
      </c>
      <c r="Y80" s="45"/>
      <c r="Z80" s="76"/>
      <c r="AA80" s="76"/>
      <c r="AB80" s="45"/>
      <c r="AC80" s="76"/>
      <c r="AD80" s="76"/>
      <c r="AE80" s="47">
        <f>VLOOKUP(A_Entry_Forecast[[#This Row],[Ticker]],[1]!A_Entry_Data[#Data],2,FALSE)</f>
        <v>31250</v>
      </c>
      <c r="AF80" s="40">
        <f>IF(A_Entry_Forecast[[#This Row],[Target Price]]&lt;&gt;0,A_Entry_Forecast[[#This Row],[Target Price]]/AE80-1,"")</f>
        <v>3.0399999999999983E-2</v>
      </c>
      <c r="AH80" s="1" t="s">
        <v>146</v>
      </c>
      <c r="AI80" s="7">
        <v>60368.915511505002</v>
      </c>
      <c r="AJ80" s="7">
        <v>8873.8124168640006</v>
      </c>
      <c r="AK80" s="7">
        <v>3796</v>
      </c>
      <c r="AL80" s="7">
        <v>15166.26</v>
      </c>
      <c r="AM80" s="8">
        <v>0.1754</v>
      </c>
      <c r="AN80" s="8">
        <v>0.29310000000000003</v>
      </c>
    </row>
    <row r="81" spans="1:40" x14ac:dyDescent="0.2">
      <c r="B81" s="41" t="s">
        <v>144</v>
      </c>
      <c r="C81" s="43" t="s">
        <v>133</v>
      </c>
      <c r="D81" s="43" t="s">
        <v>60</v>
      </c>
      <c r="E81" s="44">
        <v>52900</v>
      </c>
      <c r="F81" s="76">
        <v>24678</v>
      </c>
      <c r="G81" s="76">
        <v>27682</v>
      </c>
      <c r="H81" s="76"/>
      <c r="I81" s="76">
        <v>530</v>
      </c>
      <c r="J81" s="76">
        <v>644</v>
      </c>
      <c r="K81" s="76"/>
      <c r="L81" s="76">
        <v>2418</v>
      </c>
      <c r="M81" s="76">
        <v>2938</v>
      </c>
      <c r="N81" s="76"/>
      <c r="O81" s="76">
        <v>15747</v>
      </c>
      <c r="P81" s="76">
        <v>18488</v>
      </c>
      <c r="Q81" s="76"/>
      <c r="R81" s="77">
        <v>0.06</v>
      </c>
      <c r="S81" s="78">
        <v>0.06</v>
      </c>
      <c r="T81" s="78"/>
      <c r="U81" s="77">
        <v>0.15</v>
      </c>
      <c r="V81" s="78">
        <v>0.16</v>
      </c>
      <c r="W81" s="78"/>
      <c r="X81" s="37" t="str">
        <f>IF(OR(COUNTBLANK(A_Entry_Forecast[[#This Row],[REV_FY]])&lt;&gt;0,COUNTBLANK(A_Entry_Forecast[[#This Row],[REV_FY+1]])&lt;&gt;0),"N","Y")</f>
        <v>Y</v>
      </c>
      <c r="Y81" s="45"/>
      <c r="Z81" s="76"/>
      <c r="AA81" s="76"/>
      <c r="AB81" s="45"/>
      <c r="AC81" s="76"/>
      <c r="AD81" s="76"/>
      <c r="AE81" s="47">
        <f>VLOOKUP(A_Entry_Forecast[[#This Row],[Ticker]],[1]!A_Entry_Data[#Data],2,FALSE)</f>
        <v>48150</v>
      </c>
      <c r="AF81" s="40">
        <f>IF(A_Entry_Forecast[[#This Row],[Target Price]]&lt;&gt;0,A_Entry_Forecast[[#This Row],[Target Price]]/AE81-1,"")</f>
        <v>9.8650051921080006E-2</v>
      </c>
      <c r="AH81" s="1" t="s">
        <v>147</v>
      </c>
      <c r="AI81" s="7">
        <v>91458.545170416997</v>
      </c>
      <c r="AJ81" s="7">
        <v>-5807.1118533239996</v>
      </c>
      <c r="AK81" s="7">
        <v>-2622</v>
      </c>
      <c r="AL81" s="7">
        <v>0</v>
      </c>
      <c r="AM81" s="8">
        <v>-9.8199999999999996E-2</v>
      </c>
      <c r="AN81" s="8">
        <v>0.38009999999999999</v>
      </c>
    </row>
    <row r="82" spans="1:40" x14ac:dyDescent="0.2">
      <c r="B82" s="41" t="s">
        <v>144</v>
      </c>
      <c r="C82" s="43" t="s">
        <v>113</v>
      </c>
      <c r="D82" s="43" t="s">
        <v>48</v>
      </c>
      <c r="E82" s="44">
        <v>171300</v>
      </c>
      <c r="F82" s="76">
        <v>49315</v>
      </c>
      <c r="G82" s="76">
        <v>57754</v>
      </c>
      <c r="H82" s="76"/>
      <c r="I82" s="76">
        <v>610</v>
      </c>
      <c r="J82" s="76">
        <v>865</v>
      </c>
      <c r="K82" s="76"/>
      <c r="L82" s="76">
        <v>4481</v>
      </c>
      <c r="M82" s="76">
        <v>6350</v>
      </c>
      <c r="N82" s="76"/>
      <c r="O82" s="76">
        <v>18520</v>
      </c>
      <c r="P82" s="76">
        <v>24878</v>
      </c>
      <c r="Q82" s="76"/>
      <c r="R82" s="77">
        <v>0.03</v>
      </c>
      <c r="S82" s="78">
        <v>0.04</v>
      </c>
      <c r="T82" s="78"/>
      <c r="U82" s="77">
        <v>0.24</v>
      </c>
      <c r="V82" s="78">
        <v>0.26</v>
      </c>
      <c r="W82" s="78"/>
      <c r="X82" s="37" t="str">
        <f>IF(OR(COUNTBLANK(A_Entry_Forecast[[#This Row],[REV_FY]])&lt;&gt;0,COUNTBLANK(A_Entry_Forecast[[#This Row],[REV_FY+1]])&lt;&gt;0),"N","Y")</f>
        <v>Y</v>
      </c>
      <c r="Y82" s="45"/>
      <c r="Z82" s="76"/>
      <c r="AA82" s="76"/>
      <c r="AB82" s="45"/>
      <c r="AC82" s="76"/>
      <c r="AD82" s="76"/>
      <c r="AE82" s="47">
        <f>VLOOKUP(A_Entry_Forecast[[#This Row],[Ticker]],[1]!A_Entry_Data[#Data],2,FALSE)</f>
        <v>150000</v>
      </c>
      <c r="AF82" s="40">
        <f>IF(A_Entry_Forecast[[#This Row],[Target Price]]&lt;&gt;0,A_Entry_Forecast[[#This Row],[Target Price]]/AE82-1,"")</f>
        <v>0.1419999999999999</v>
      </c>
      <c r="AH82" s="1" t="s">
        <v>148</v>
      </c>
      <c r="AI82" s="67">
        <v>62534.861293754002</v>
      </c>
      <c r="AJ82" s="67">
        <v>343.04121726199998</v>
      </c>
      <c r="AK82" s="67">
        <v>633</v>
      </c>
      <c r="AL82" s="67">
        <v>28823.86</v>
      </c>
      <c r="AM82" s="8">
        <v>4.4999999999999997E-3</v>
      </c>
      <c r="AN82" s="8">
        <v>2.2599999999999999E-2</v>
      </c>
    </row>
    <row r="83" spans="1:40" x14ac:dyDescent="0.2">
      <c r="B83" s="41" t="s">
        <v>144</v>
      </c>
      <c r="C83" s="43" t="s">
        <v>114</v>
      </c>
      <c r="D83" s="43" t="s">
        <v>48</v>
      </c>
      <c r="E83" s="44">
        <v>92700</v>
      </c>
      <c r="F83" s="76">
        <v>79506</v>
      </c>
      <c r="G83" s="76">
        <v>86215</v>
      </c>
      <c r="H83" s="76"/>
      <c r="I83" s="76">
        <v>3435</v>
      </c>
      <c r="J83" s="76">
        <v>4216</v>
      </c>
      <c r="K83" s="76"/>
      <c r="L83" s="76">
        <v>2270</v>
      </c>
      <c r="M83" s="76">
        <v>2787</v>
      </c>
      <c r="N83" s="76"/>
      <c r="O83" s="76">
        <v>22258</v>
      </c>
      <c r="P83" s="76">
        <v>25042</v>
      </c>
      <c r="Q83" s="76"/>
      <c r="R83" s="77">
        <v>0.04</v>
      </c>
      <c r="S83" s="78">
        <v>0.05</v>
      </c>
      <c r="T83" s="78"/>
      <c r="U83" s="77">
        <v>0.12</v>
      </c>
      <c r="V83" s="78">
        <v>0.14000000000000001</v>
      </c>
      <c r="W83" s="78"/>
      <c r="X83" s="37" t="str">
        <f>IF(OR(COUNTBLANK(A_Entry_Forecast[[#This Row],[REV_FY]])&lt;&gt;0,COUNTBLANK(A_Entry_Forecast[[#This Row],[REV_FY+1]])&lt;&gt;0),"N","Y")</f>
        <v>Y</v>
      </c>
      <c r="Y83" s="45"/>
      <c r="Z83" s="76"/>
      <c r="AA83" s="76"/>
      <c r="AB83" s="45"/>
      <c r="AC83" s="76"/>
      <c r="AD83" s="76"/>
      <c r="AE83" s="47">
        <f>VLOOKUP(A_Entry_Forecast[[#This Row],[Ticker]],[1]!A_Entry_Data[#Data],2,FALSE)</f>
        <v>83600</v>
      </c>
      <c r="AF83" s="40">
        <f>IF(A_Entry_Forecast[[#This Row],[Target Price]]&lt;&gt;0,A_Entry_Forecast[[#This Row],[Target Price]]/AE83-1,"")</f>
        <v>0.10885167464114831</v>
      </c>
      <c r="AH83" s="1" t="s">
        <v>149</v>
      </c>
      <c r="AI83" s="7">
        <v>980.08964265199995</v>
      </c>
      <c r="AJ83" s="7">
        <v>77.136740157000006</v>
      </c>
      <c r="AK83" s="7">
        <v>1294</v>
      </c>
      <c r="AL83" s="7">
        <v>11833.46</v>
      </c>
      <c r="AM83" s="8">
        <v>5.1999999999999998E-2</v>
      </c>
      <c r="AN83" s="8">
        <v>9.0499999999999997E-2</v>
      </c>
    </row>
    <row r="84" spans="1:40" x14ac:dyDescent="0.2">
      <c r="B84" s="41" t="s">
        <v>144</v>
      </c>
      <c r="C84" s="43" t="s">
        <v>134</v>
      </c>
      <c r="D84" s="43" t="s">
        <v>48</v>
      </c>
      <c r="E84" s="44">
        <v>84700</v>
      </c>
      <c r="F84" s="76">
        <v>153559</v>
      </c>
      <c r="G84" s="76">
        <v>172781</v>
      </c>
      <c r="H84" s="76"/>
      <c r="I84" s="76">
        <v>5800</v>
      </c>
      <c r="J84" s="76">
        <v>6841</v>
      </c>
      <c r="K84" s="76"/>
      <c r="L84" s="76">
        <v>3909</v>
      </c>
      <c r="M84" s="76">
        <v>4611</v>
      </c>
      <c r="N84" s="76"/>
      <c r="O84" s="76">
        <v>22026</v>
      </c>
      <c r="P84" s="76">
        <v>25670</v>
      </c>
      <c r="Q84" s="76"/>
      <c r="R84" s="77">
        <v>7.5999999999999998E-2</v>
      </c>
      <c r="S84" s="78">
        <v>8.1000000000000003E-2</v>
      </c>
      <c r="T84" s="78"/>
      <c r="U84" s="77">
        <v>0.17699999999999999</v>
      </c>
      <c r="V84" s="78">
        <v>0.18</v>
      </c>
      <c r="W84" s="78"/>
      <c r="X84" s="37" t="str">
        <f>IF(OR(COUNTBLANK(A_Entry_Forecast[[#This Row],[REV_FY]])&lt;&gt;0,COUNTBLANK(A_Entry_Forecast[[#This Row],[REV_FY+1]])&lt;&gt;0),"N","Y")</f>
        <v>Y</v>
      </c>
      <c r="Y84" s="45"/>
      <c r="Z84" s="76"/>
      <c r="AA84" s="76"/>
      <c r="AB84" s="45"/>
      <c r="AC84" s="76"/>
      <c r="AD84" s="76"/>
      <c r="AE84" s="47">
        <f>VLOOKUP(A_Entry_Forecast[[#This Row],[Ticker]],[1]!A_Entry_Data[#Data],2,FALSE)</f>
        <v>72200</v>
      </c>
      <c r="AF84" s="40">
        <f>IF(A_Entry_Forecast[[#This Row],[Target Price]]&lt;&gt;0,A_Entry_Forecast[[#This Row],[Target Price]]/AE84-1,"")</f>
        <v>0.17313019390581719</v>
      </c>
      <c r="AH84" s="1" t="s">
        <v>150</v>
      </c>
      <c r="AI84" s="7">
        <v>52617.900827384998</v>
      </c>
      <c r="AJ84" s="7">
        <v>6470.5224337119998</v>
      </c>
      <c r="AK84" s="7">
        <v>4666</v>
      </c>
      <c r="AL84" s="7">
        <v>19677.77</v>
      </c>
      <c r="AM84" s="8">
        <v>0.11559999999999999</v>
      </c>
      <c r="AN84" s="8">
        <v>0.33850000000000002</v>
      </c>
    </row>
    <row r="85" spans="1:40" x14ac:dyDescent="0.2">
      <c r="B85" s="41" t="s">
        <v>144</v>
      </c>
      <c r="C85" s="43" t="s">
        <v>135</v>
      </c>
      <c r="D85" s="43" t="s">
        <v>60</v>
      </c>
      <c r="E85" s="44">
        <v>83000</v>
      </c>
      <c r="F85" s="76">
        <v>31700</v>
      </c>
      <c r="G85" s="76">
        <v>33514</v>
      </c>
      <c r="H85" s="76"/>
      <c r="I85" s="76">
        <v>2074</v>
      </c>
      <c r="J85" s="76">
        <v>2229</v>
      </c>
      <c r="K85" s="76"/>
      <c r="L85" s="76">
        <v>5532</v>
      </c>
      <c r="M85" s="76">
        <v>6072</v>
      </c>
      <c r="N85" s="76"/>
      <c r="O85" s="76">
        <v>36614</v>
      </c>
      <c r="P85" s="76">
        <v>40695</v>
      </c>
      <c r="Q85" s="76"/>
      <c r="R85" s="77">
        <v>0.11</v>
      </c>
      <c r="S85" s="78">
        <v>0.11</v>
      </c>
      <c r="T85" s="78"/>
      <c r="U85" s="77">
        <v>0.17</v>
      </c>
      <c r="V85" s="78">
        <v>0.17</v>
      </c>
      <c r="W85" s="78"/>
      <c r="X85" s="37" t="str">
        <f>IF(OR(COUNTBLANK(A_Entry_Forecast[[#This Row],[REV_FY]])&lt;&gt;0,COUNTBLANK(A_Entry_Forecast[[#This Row],[REV_FY+1]])&lt;&gt;0),"N","Y")</f>
        <v>Y</v>
      </c>
      <c r="Y85" s="45"/>
      <c r="Z85" s="76"/>
      <c r="AA85" s="76"/>
      <c r="AB85" s="45"/>
      <c r="AC85" s="76"/>
      <c r="AD85" s="76"/>
      <c r="AE85" s="47">
        <f>VLOOKUP(A_Entry_Forecast[[#This Row],[Ticker]],[1]!A_Entry_Data[#Data],2,FALSE)</f>
        <v>87500</v>
      </c>
      <c r="AF85" s="40">
        <f>IF(A_Entry_Forecast[[#This Row],[Target Price]]&lt;&gt;0,A_Entry_Forecast[[#This Row],[Target Price]]/AE85-1,"")</f>
        <v>-5.1428571428571379E-2</v>
      </c>
      <c r="AH85" s="1" t="s">
        <v>151</v>
      </c>
      <c r="AI85" s="7">
        <v>4541.9075657900003</v>
      </c>
      <c r="AJ85" s="7">
        <v>244.54961484500001</v>
      </c>
      <c r="AK85" s="7">
        <v>3260</v>
      </c>
      <c r="AL85" s="7">
        <v>21947.78</v>
      </c>
      <c r="AM85" s="8">
        <v>7.2499999999999995E-2</v>
      </c>
      <c r="AN85" s="8">
        <v>0.1507</v>
      </c>
    </row>
    <row r="86" spans="1:40" ht="15" x14ac:dyDescent="0.2">
      <c r="B86" s="41" t="s">
        <v>144</v>
      </c>
      <c r="C86" s="80" t="s">
        <v>146</v>
      </c>
      <c r="D86" s="43" t="s">
        <v>48</v>
      </c>
      <c r="E86" s="44">
        <v>64600</v>
      </c>
      <c r="F86" s="76">
        <v>63188</v>
      </c>
      <c r="G86" s="76">
        <v>66202</v>
      </c>
      <c r="H86" s="76"/>
      <c r="I86" s="76">
        <v>9144</v>
      </c>
      <c r="J86" s="76">
        <v>9597</v>
      </c>
      <c r="K86" s="76"/>
      <c r="L86" s="76">
        <v>3916</v>
      </c>
      <c r="M86" s="76">
        <v>4110</v>
      </c>
      <c r="N86" s="76"/>
      <c r="O86" s="76">
        <v>17911</v>
      </c>
      <c r="P86" s="76">
        <v>18543</v>
      </c>
      <c r="Q86" s="76"/>
      <c r="R86" s="77">
        <v>0.17</v>
      </c>
      <c r="S86" s="78">
        <v>0.17</v>
      </c>
      <c r="T86" s="78"/>
      <c r="U86" s="77">
        <v>0.26</v>
      </c>
      <c r="V86" s="78">
        <v>0.25</v>
      </c>
      <c r="W86" s="78"/>
      <c r="X86" s="37" t="str">
        <f>IF(OR(COUNTBLANK(A_Entry_Forecast[[#This Row],[REV_FY]])&lt;&gt;0,COUNTBLANK(A_Entry_Forecast[[#This Row],[REV_FY+1]])&lt;&gt;0),"N","Y")</f>
        <v>Y</v>
      </c>
      <c r="Y86" s="132"/>
      <c r="Z86" s="76"/>
      <c r="AA86" s="76"/>
      <c r="AB86" s="132"/>
      <c r="AC86" s="76"/>
      <c r="AD86" s="76"/>
      <c r="AE86" s="47">
        <v>19300</v>
      </c>
      <c r="AF86" s="40">
        <v>0.19</v>
      </c>
      <c r="AH86" s="1" t="s">
        <v>152</v>
      </c>
      <c r="AI86" s="7">
        <v>7095.7510280329998</v>
      </c>
      <c r="AJ86" s="7">
        <v>225.68657731799999</v>
      </c>
      <c r="AK86" s="7">
        <v>1988</v>
      </c>
      <c r="AL86" s="7">
        <v>0</v>
      </c>
      <c r="AM86" s="8">
        <v>0</v>
      </c>
      <c r="AN86" s="8">
        <v>0</v>
      </c>
    </row>
    <row r="87" spans="1:40" ht="15" x14ac:dyDescent="0.2">
      <c r="B87" s="41" t="s">
        <v>153</v>
      </c>
      <c r="C87" s="80" t="s">
        <v>154</v>
      </c>
      <c r="D87" s="43" t="s">
        <v>48</v>
      </c>
      <c r="E87" s="45">
        <v>61700</v>
      </c>
      <c r="F87" s="82">
        <v>4727</v>
      </c>
      <c r="G87" s="82">
        <v>5196</v>
      </c>
      <c r="H87" s="82"/>
      <c r="I87" s="76">
        <v>774</v>
      </c>
      <c r="J87" s="76">
        <v>891</v>
      </c>
      <c r="K87" s="76"/>
      <c r="L87" s="45">
        <v>6379</v>
      </c>
      <c r="M87" s="45">
        <v>7340</v>
      </c>
      <c r="N87" s="45"/>
      <c r="O87" s="45">
        <v>32179</v>
      </c>
      <c r="P87" s="45">
        <v>38775</v>
      </c>
      <c r="Q87" s="45"/>
      <c r="R87" s="133">
        <v>0.1</v>
      </c>
      <c r="S87" s="134">
        <v>0.1</v>
      </c>
      <c r="T87" s="134"/>
      <c r="U87" s="133">
        <v>0.16</v>
      </c>
      <c r="V87" s="134">
        <v>0.15</v>
      </c>
      <c r="W87" s="134"/>
      <c r="X87" s="37" t="str">
        <f>IF(OR(COUNTBLANK(A_Entry_Forecast[[#This Row],[REV_FY]])&lt;&gt;0,COUNTBLANK(A_Entry_Forecast[[#This Row],[REV_FY+1]])&lt;&gt;0),"N","Y")</f>
        <v>Y</v>
      </c>
      <c r="Y87" s="45">
        <v>1233</v>
      </c>
      <c r="Z87" s="45">
        <v>2020</v>
      </c>
      <c r="AA87" s="45">
        <v>2282</v>
      </c>
      <c r="AB87" s="45">
        <v>1574</v>
      </c>
      <c r="AC87" s="45">
        <v>1603</v>
      </c>
      <c r="AD87" s="135">
        <v>806</v>
      </c>
      <c r="AE87" s="47">
        <v>22000</v>
      </c>
      <c r="AF87" s="40">
        <v>0.23</v>
      </c>
      <c r="AH87" s="1" t="s">
        <v>155</v>
      </c>
      <c r="AI87" s="7">
        <v>10038.576879853001</v>
      </c>
      <c r="AJ87" s="7">
        <v>896.51564530200005</v>
      </c>
      <c r="AK87" s="7">
        <v>4880</v>
      </c>
      <c r="AL87" s="7">
        <v>44509.8</v>
      </c>
      <c r="AM87" s="8">
        <v>7.6700000000000004E-2</v>
      </c>
      <c r="AN87" s="8">
        <v>0.1198</v>
      </c>
    </row>
    <row r="88" spans="1:40" ht="15" x14ac:dyDescent="0.2">
      <c r="B88" s="41" t="s">
        <v>153</v>
      </c>
      <c r="C88" s="80" t="s">
        <v>156</v>
      </c>
      <c r="D88" s="43" t="s">
        <v>48</v>
      </c>
      <c r="E88" s="45">
        <v>36000</v>
      </c>
      <c r="F88" s="76">
        <v>5928</v>
      </c>
      <c r="G88" s="76">
        <v>6474</v>
      </c>
      <c r="H88" s="76"/>
      <c r="I88" s="76">
        <v>955</v>
      </c>
      <c r="J88" s="76">
        <v>1136</v>
      </c>
      <c r="K88" s="76"/>
      <c r="L88" s="76">
        <v>3588</v>
      </c>
      <c r="M88" s="76">
        <v>4266</v>
      </c>
      <c r="N88" s="76"/>
      <c r="O88" s="76">
        <v>13256</v>
      </c>
      <c r="P88" s="76">
        <v>16529</v>
      </c>
      <c r="Q88" s="76"/>
      <c r="R88" s="133">
        <v>0.17</v>
      </c>
      <c r="S88" s="134">
        <v>0.17</v>
      </c>
      <c r="T88" s="134"/>
      <c r="U88" s="133">
        <v>0.26</v>
      </c>
      <c r="V88" s="134">
        <v>0.27</v>
      </c>
      <c r="W88" s="134"/>
      <c r="X88" s="37" t="str">
        <f>IF(OR(COUNTBLANK(A_Entry_Forecast[[#This Row],[REV_FY]])&lt;&gt;0,COUNTBLANK(A_Entry_Forecast[[#This Row],[REV_FY+1]])&lt;&gt;0),"N","Y")</f>
        <v>Y</v>
      </c>
      <c r="Y88" s="45"/>
      <c r="Z88" s="76"/>
      <c r="AA88" s="76"/>
      <c r="AB88" s="45"/>
      <c r="AC88" s="76"/>
      <c r="AD88" s="45"/>
      <c r="AE88" s="47">
        <v>64700</v>
      </c>
      <c r="AF88" s="40"/>
    </row>
    <row r="89" spans="1:40" ht="15" x14ac:dyDescent="0.2">
      <c r="B89" s="41" t="s">
        <v>153</v>
      </c>
      <c r="C89" s="80" t="s">
        <v>157</v>
      </c>
      <c r="D89" s="43" t="s">
        <v>60</v>
      </c>
      <c r="E89" s="45">
        <v>111000</v>
      </c>
      <c r="F89" s="76">
        <v>13957</v>
      </c>
      <c r="G89" s="76">
        <v>15684</v>
      </c>
      <c r="H89" s="76"/>
      <c r="I89" s="76">
        <v>566</v>
      </c>
      <c r="J89" s="76">
        <v>762</v>
      </c>
      <c r="K89" s="76"/>
      <c r="L89" s="76">
        <v>4948</v>
      </c>
      <c r="M89" s="76">
        <v>6659</v>
      </c>
      <c r="N89" s="76"/>
      <c r="O89" s="76">
        <v>27219</v>
      </c>
      <c r="P89" s="76">
        <v>33878</v>
      </c>
      <c r="Q89" s="76"/>
      <c r="R89" s="133">
        <v>0.06</v>
      </c>
      <c r="S89" s="134">
        <v>0.08</v>
      </c>
      <c r="T89" s="134"/>
      <c r="U89" s="133">
        <v>0.18</v>
      </c>
      <c r="V89" s="134">
        <v>0.2</v>
      </c>
      <c r="W89" s="134"/>
      <c r="X89" s="37" t="str">
        <f>IF(OR(COUNTBLANK(A_Entry_Forecast[[#This Row],[REV_FY]])&lt;&gt;0,COUNTBLANK(A_Entry_Forecast[[#This Row],[REV_FY+1]])&lt;&gt;0),"N","Y")</f>
        <v>Y</v>
      </c>
      <c r="Y89" s="45"/>
      <c r="Z89" s="76"/>
      <c r="AA89" s="76"/>
      <c r="AB89" s="45"/>
      <c r="AC89" s="76"/>
      <c r="AD89" s="76"/>
      <c r="AE89" s="47">
        <v>53000</v>
      </c>
      <c r="AF89" s="40">
        <f>IF(A_Entry_Forecast[[#This Row],[Target Price]]&lt;&gt;0,A_Entry_Forecast[[#This Row],[Target Price]]/AE89-1,"")</f>
        <v>1.0943396226415096</v>
      </c>
      <c r="AH89" s="1" t="s">
        <v>158</v>
      </c>
      <c r="AI89" s="7">
        <v>2624.1500147410002</v>
      </c>
      <c r="AJ89" s="7">
        <v>152.23421989900001</v>
      </c>
      <c r="AK89" s="7">
        <v>530</v>
      </c>
      <c r="AL89" s="7">
        <v>10532.16</v>
      </c>
      <c r="AM89" s="8">
        <v>1.6899999999999998E-2</v>
      </c>
      <c r="AN89" s="8">
        <v>4.8500000000000001E-2</v>
      </c>
    </row>
    <row r="90" spans="1:40" ht="15" x14ac:dyDescent="0.2">
      <c r="B90" s="41" t="s">
        <v>153</v>
      </c>
      <c r="C90" s="80" t="s">
        <v>149</v>
      </c>
      <c r="D90" s="43" t="s">
        <v>48</v>
      </c>
      <c r="E90" s="45">
        <v>28000</v>
      </c>
      <c r="F90" s="76">
        <v>1658</v>
      </c>
      <c r="G90" s="76">
        <v>1744</v>
      </c>
      <c r="H90" s="76"/>
      <c r="I90" s="76">
        <v>143</v>
      </c>
      <c r="J90" s="76">
        <v>164</v>
      </c>
      <c r="K90" s="76"/>
      <c r="L90" s="76">
        <v>1740</v>
      </c>
      <c r="M90" s="76">
        <v>1999</v>
      </c>
      <c r="N90" s="76"/>
      <c r="O90" s="76">
        <v>17364</v>
      </c>
      <c r="P90" s="76">
        <v>19545</v>
      </c>
      <c r="Q90" s="76"/>
      <c r="R90" s="133">
        <v>0.06</v>
      </c>
      <c r="S90" s="134">
        <v>0.06</v>
      </c>
      <c r="T90" s="134"/>
      <c r="U90" s="133">
        <v>0.1</v>
      </c>
      <c r="V90" s="134">
        <v>0.1</v>
      </c>
      <c r="W90" s="134"/>
      <c r="X90" s="37" t="str">
        <f>IF(OR(COUNTBLANK(A_Entry_Forecast[[#This Row],[REV_FY]])&lt;&gt;0,COUNTBLANK(A_Entry_Forecast[[#This Row],[REV_FY+1]])&lt;&gt;0),"N","Y")</f>
        <v>Y</v>
      </c>
      <c r="Y90" s="45"/>
      <c r="Z90" s="76"/>
      <c r="AA90" s="76"/>
      <c r="AB90" s="45"/>
      <c r="AC90" s="76"/>
      <c r="AD90" s="76"/>
      <c r="AE90" s="47">
        <f>VLOOKUP(A_Entry_Forecast[[#This Row],[Ticker]],[1]!A_Entry_Data[#Data],2,FALSE)</f>
        <v>23650</v>
      </c>
      <c r="AF90" s="40">
        <f>IF(A_Entry_Forecast[[#This Row],[Target Price]]&lt;&gt;0,A_Entry_Forecast[[#This Row],[Target Price]]/AE90-1,"")</f>
        <v>0.18393234672304448</v>
      </c>
      <c r="AH90" s="1" t="s">
        <v>142</v>
      </c>
      <c r="AI90" s="7">
        <v>0</v>
      </c>
      <c r="AJ90" s="7">
        <v>0</v>
      </c>
      <c r="AK90" s="7">
        <v>0</v>
      </c>
      <c r="AL90" s="7">
        <v>0</v>
      </c>
      <c r="AM90" s="8">
        <v>0</v>
      </c>
      <c r="AN90" s="8">
        <v>0</v>
      </c>
    </row>
    <row r="91" spans="1:40" ht="15" x14ac:dyDescent="0.2">
      <c r="B91" s="41" t="s">
        <v>159</v>
      </c>
      <c r="C91" s="80" t="s">
        <v>150</v>
      </c>
      <c r="D91" s="43" t="s">
        <v>60</v>
      </c>
      <c r="E91" s="45">
        <v>118700</v>
      </c>
      <c r="F91" s="76">
        <v>73267</v>
      </c>
      <c r="G91" s="76">
        <v>86654</v>
      </c>
      <c r="H91" s="76"/>
      <c r="I91" s="76">
        <v>9332</v>
      </c>
      <c r="J91" s="76">
        <v>11219</v>
      </c>
      <c r="K91" s="76"/>
      <c r="L91" s="76">
        <v>5042</v>
      </c>
      <c r="M91" s="76">
        <v>6061</v>
      </c>
      <c r="N91" s="76"/>
      <c r="O91" s="76">
        <v>21041</v>
      </c>
      <c r="P91" s="76">
        <v>25579</v>
      </c>
      <c r="Q91" s="76"/>
      <c r="R91" s="133">
        <v>0.12</v>
      </c>
      <c r="S91" s="134">
        <v>0.12</v>
      </c>
      <c r="T91" s="134"/>
      <c r="U91" s="133">
        <v>0.21</v>
      </c>
      <c r="V91" s="134">
        <v>0.21</v>
      </c>
      <c r="W91" s="134"/>
      <c r="X91" s="37" t="str">
        <f>IF(OR(COUNTBLANK(A_Entry_Forecast[[#This Row],[REV_FY]])&lt;&gt;0,COUNTBLANK(A_Entry_Forecast[[#This Row],[REV_FY+1]])&lt;&gt;0),"N","Y")</f>
        <v>Y</v>
      </c>
      <c r="Y91" s="45"/>
      <c r="Z91" s="76"/>
      <c r="AA91" s="76"/>
      <c r="AB91" s="45"/>
      <c r="AC91" s="76"/>
      <c r="AD91" s="76"/>
      <c r="AE91" s="47">
        <v>106400</v>
      </c>
      <c r="AF91" s="40">
        <f>IF(A_Entry_Forecast[[#This Row],[Target Price]]&lt;&gt;0,A_Entry_Forecast[[#This Row],[Target Price]]/AE91-1,"")</f>
        <v>0.11560150375939848</v>
      </c>
      <c r="AH91" s="1" t="s">
        <v>160</v>
      </c>
      <c r="AI91" s="7">
        <v>0</v>
      </c>
      <c r="AJ91" s="7">
        <v>0</v>
      </c>
      <c r="AK91" s="7">
        <v>0</v>
      </c>
      <c r="AL91" s="7">
        <v>0</v>
      </c>
      <c r="AM91" s="8">
        <v>0</v>
      </c>
      <c r="AN91" s="8">
        <v>0</v>
      </c>
    </row>
    <row r="92" spans="1:40" s="138" customFormat="1" ht="15" x14ac:dyDescent="0.2">
      <c r="A92" s="31"/>
      <c r="B92" s="41" t="s">
        <v>153</v>
      </c>
      <c r="C92" s="80" t="s">
        <v>151</v>
      </c>
      <c r="D92" s="43" t="s">
        <v>60</v>
      </c>
      <c r="E92" s="45">
        <v>50600</v>
      </c>
      <c r="F92" s="76">
        <v>5838</v>
      </c>
      <c r="G92" s="76">
        <v>6340</v>
      </c>
      <c r="H92" s="76"/>
      <c r="I92" s="76">
        <v>440</v>
      </c>
      <c r="J92" s="76">
        <v>501</v>
      </c>
      <c r="K92" s="76"/>
      <c r="L92" s="76">
        <v>5861</v>
      </c>
      <c r="M92" s="76">
        <v>6684</v>
      </c>
      <c r="N92" s="76"/>
      <c r="O92" s="76">
        <v>29592</v>
      </c>
      <c r="P92" s="76">
        <v>32565</v>
      </c>
      <c r="Q92" s="76"/>
      <c r="R92" s="133">
        <v>0.11</v>
      </c>
      <c r="S92" s="134">
        <v>0.11</v>
      </c>
      <c r="T92" s="134"/>
      <c r="U92" s="133">
        <v>0.2</v>
      </c>
      <c r="V92" s="134">
        <v>0.19</v>
      </c>
      <c r="W92" s="134"/>
      <c r="X92" s="37" t="str">
        <f>IF(OR(COUNTBLANK(A_Entry_Forecast[[#This Row],[REV_FY]])&lt;&gt;0,COUNTBLANK(A_Entry_Forecast[[#This Row],[REV_FY+1]])&lt;&gt;0),"N","Y")</f>
        <v>Y</v>
      </c>
      <c r="Y92" s="45"/>
      <c r="Z92" s="76"/>
      <c r="AA92" s="76"/>
      <c r="AB92" s="45"/>
      <c r="AC92" s="76"/>
      <c r="AD92" s="76"/>
      <c r="AE92" s="136">
        <f>VLOOKUP(A_Entry_Forecast[[#This Row],[Ticker]],[1]!A_Entry_Data[#Data],2,FALSE)</f>
        <v>39000</v>
      </c>
      <c r="AF92" s="137">
        <f>IF(A_Entry_Forecast[[#This Row],[Target Price]]&lt;&gt;0,A_Entry_Forecast[[#This Row],[Target Price]]/AE92-1,"")</f>
        <v>0.29743589743589749</v>
      </c>
      <c r="AH92" s="138" t="s">
        <v>88</v>
      </c>
      <c r="AI92" s="139">
        <v>22079.889523223999</v>
      </c>
      <c r="AJ92" s="139">
        <v>2585.2292951039999</v>
      </c>
      <c r="AK92" s="139">
        <v>646</v>
      </c>
      <c r="AL92" s="139">
        <v>12426.25</v>
      </c>
      <c r="AM92" s="140">
        <v>3.3000000000000002E-2</v>
      </c>
      <c r="AN92" s="140">
        <v>6.83E-2</v>
      </c>
    </row>
    <row r="93" spans="1:40" s="142" customFormat="1" ht="15" x14ac:dyDescent="0.2">
      <c r="A93" s="31"/>
      <c r="B93" s="41" t="s">
        <v>153</v>
      </c>
      <c r="C93" s="80" t="s">
        <v>152</v>
      </c>
      <c r="D93" s="43" t="s">
        <v>60</v>
      </c>
      <c r="E93" s="45">
        <v>23900</v>
      </c>
      <c r="F93" s="76">
        <v>8350</v>
      </c>
      <c r="G93" s="76">
        <v>9177</v>
      </c>
      <c r="H93" s="76"/>
      <c r="I93" s="76">
        <v>342</v>
      </c>
      <c r="J93" s="76">
        <v>378</v>
      </c>
      <c r="K93" s="76"/>
      <c r="L93" s="76">
        <v>2812</v>
      </c>
      <c r="M93" s="76">
        <v>3104</v>
      </c>
      <c r="N93" s="76"/>
      <c r="O93" s="76">
        <v>17259</v>
      </c>
      <c r="P93" s="76">
        <v>19132</v>
      </c>
      <c r="Q93" s="76"/>
      <c r="R93" s="133">
        <v>0.05</v>
      </c>
      <c r="S93" s="134">
        <v>0.05</v>
      </c>
      <c r="T93" s="134"/>
      <c r="U93" s="133">
        <v>0.17455746496906291</v>
      </c>
      <c r="V93" s="134">
        <v>0.15</v>
      </c>
      <c r="W93" s="134"/>
      <c r="X93" s="37" t="str">
        <f>IF(OR(COUNTBLANK(A_Entry_Forecast[[#This Row],[REV_FY]])&lt;&gt;0,COUNTBLANK(A_Entry_Forecast[[#This Row],[REV_FY+1]])&lt;&gt;0),"N","Y")</f>
        <v>Y</v>
      </c>
      <c r="Y93" s="45"/>
      <c r="Z93" s="76"/>
      <c r="AA93" s="76"/>
      <c r="AB93" s="45"/>
      <c r="AC93" s="76"/>
      <c r="AD93" s="76"/>
      <c r="AE93" s="47">
        <f>VLOOKUP(A_Entry_Forecast[[#This Row],[Ticker]],[1]!A_Entry_Data[#Data],2,FALSE)</f>
        <v>22000</v>
      </c>
      <c r="AF93" s="141">
        <f>IF(A_Entry_Forecast[[#This Row],[Target Price]]&lt;&gt;0,A_Entry_Forecast[[#This Row],[Target Price]]/AE93-1,"")</f>
        <v>8.636363636363642E-2</v>
      </c>
      <c r="AH93" s="142" t="s">
        <v>89</v>
      </c>
      <c r="AI93" s="143">
        <v>7237.0317629789997</v>
      </c>
      <c r="AJ93" s="143">
        <v>1392.9638244549999</v>
      </c>
      <c r="AK93" s="143">
        <v>4221</v>
      </c>
      <c r="AL93" s="143">
        <v>15066.71</v>
      </c>
      <c r="AM93" s="144">
        <v>8.0199999999999994E-2</v>
      </c>
      <c r="AN93" s="144">
        <v>0.33379999999999999</v>
      </c>
    </row>
    <row r="94" spans="1:40" s="142" customFormat="1" ht="15" x14ac:dyDescent="0.2">
      <c r="A94" s="31"/>
      <c r="B94" s="41" t="s">
        <v>153</v>
      </c>
      <c r="C94" s="80" t="s">
        <v>155</v>
      </c>
      <c r="D94" s="43" t="s">
        <v>60</v>
      </c>
      <c r="E94" s="45">
        <v>60000</v>
      </c>
      <c r="F94" s="128">
        <v>12518</v>
      </c>
      <c r="G94" s="128">
        <v>14226</v>
      </c>
      <c r="H94" s="128"/>
      <c r="I94" s="128">
        <v>1250</v>
      </c>
      <c r="J94" s="128">
        <v>1477</v>
      </c>
      <c r="K94" s="128"/>
      <c r="L94" s="128">
        <v>5682</v>
      </c>
      <c r="M94" s="128">
        <v>6713</v>
      </c>
      <c r="N94" s="128"/>
      <c r="O94" s="128">
        <v>48739</v>
      </c>
      <c r="P94" s="128">
        <v>54571</v>
      </c>
      <c r="Q94" s="128"/>
      <c r="R94" s="145">
        <v>0.08</v>
      </c>
      <c r="S94" s="146">
        <v>0.09</v>
      </c>
      <c r="T94" s="146"/>
      <c r="U94" s="145">
        <v>0.12</v>
      </c>
      <c r="V94" s="146">
        <v>0.12</v>
      </c>
      <c r="W94" s="146"/>
      <c r="X94" s="37" t="str">
        <f>IF(OR(COUNTBLANK(A_Entry_Forecast[[#This Row],[REV_FY]])&lt;&gt;0,COUNTBLANK(A_Entry_Forecast[[#This Row],[REV_FY+1]])&lt;&gt;0),"N","Y")</f>
        <v>Y</v>
      </c>
      <c r="Y94" s="45"/>
      <c r="Z94" s="76"/>
      <c r="AA94" s="76"/>
      <c r="AB94" s="45"/>
      <c r="AC94" s="76"/>
      <c r="AD94" s="76"/>
      <c r="AE94" s="47">
        <f>VLOOKUP(A_Entry_Forecast[[#This Row],[Ticker]],[1]!A_Entry_Data[#Data],2,FALSE)</f>
        <v>59600</v>
      </c>
      <c r="AF94" s="141">
        <f>IF(A_Entry_Forecast[[#This Row],[Target Price]]&lt;&gt;0,A_Entry_Forecast[[#This Row],[Target Price]]/AE94-1,"")</f>
        <v>6.7114093959732557E-3</v>
      </c>
      <c r="AH94" s="142" t="s">
        <v>161</v>
      </c>
      <c r="AI94" s="143">
        <v>2030.5462140290001</v>
      </c>
      <c r="AJ94" s="143">
        <v>120.407697373</v>
      </c>
      <c r="AK94" s="143">
        <v>635</v>
      </c>
      <c r="AL94" s="143">
        <v>13125.56</v>
      </c>
      <c r="AM94" s="144">
        <v>2.1700000000000001E-2</v>
      </c>
      <c r="AN94" s="144">
        <v>4.6899999999999997E-2</v>
      </c>
    </row>
    <row r="95" spans="1:40" s="142" customFormat="1" ht="15" x14ac:dyDescent="0.2">
      <c r="A95" s="31"/>
      <c r="B95" s="41" t="s">
        <v>153</v>
      </c>
      <c r="C95" s="86" t="s">
        <v>147</v>
      </c>
      <c r="D95" s="51" t="s">
        <v>48</v>
      </c>
      <c r="E95" s="75">
        <v>39000</v>
      </c>
      <c r="F95" s="82">
        <v>118364</v>
      </c>
      <c r="G95" s="76">
        <v>130924</v>
      </c>
      <c r="H95" s="76"/>
      <c r="I95" s="45">
        <v>8956</v>
      </c>
      <c r="J95" s="76">
        <v>9505</v>
      </c>
      <c r="K95" s="76"/>
      <c r="L95" s="45">
        <v>2873</v>
      </c>
      <c r="M95" s="76">
        <v>3236</v>
      </c>
      <c r="N95" s="76"/>
      <c r="O95" s="45">
        <v>1230</v>
      </c>
      <c r="P95" s="76">
        <v>3179</v>
      </c>
      <c r="Q95" s="76"/>
      <c r="R95" s="54">
        <v>0.12</v>
      </c>
      <c r="S95" s="147">
        <v>0.12</v>
      </c>
      <c r="T95" s="148"/>
      <c r="U95" s="54" t="s">
        <v>115</v>
      </c>
      <c r="V95" s="147" t="s">
        <v>115</v>
      </c>
      <c r="W95" s="148"/>
      <c r="X95" s="149" t="str">
        <f>IF(OR(COUNTBLANK(A_Entry_Forecast[[#This Row],[REV_FY]])&lt;&gt;0,COUNTBLANK(A_Entry_Forecast[[#This Row],[REV_FY+1]])&lt;&gt;0),"N","Y")</f>
        <v>Y</v>
      </c>
      <c r="Y95" s="150"/>
      <c r="Z95" s="151"/>
      <c r="AA95" s="84"/>
      <c r="AB95" s="150"/>
      <c r="AC95" s="152"/>
      <c r="AD95" s="76"/>
      <c r="AE95" s="47"/>
      <c r="AF95" s="141"/>
      <c r="AI95" s="143"/>
      <c r="AJ95" s="143"/>
      <c r="AK95" s="143"/>
      <c r="AL95" s="143"/>
      <c r="AM95" s="144"/>
      <c r="AN95" s="144"/>
    </row>
    <row r="96" spans="1:40" ht="15" x14ac:dyDescent="0.2">
      <c r="B96" s="41" t="s">
        <v>153</v>
      </c>
      <c r="C96" s="80" t="s">
        <v>162</v>
      </c>
      <c r="D96" s="43" t="s">
        <v>48</v>
      </c>
      <c r="E96" s="45">
        <v>62706</v>
      </c>
      <c r="F96" s="76">
        <v>7123</v>
      </c>
      <c r="G96" s="76">
        <v>7767</v>
      </c>
      <c r="H96" s="76"/>
      <c r="I96" s="76">
        <v>524</v>
      </c>
      <c r="J96" s="76">
        <v>583</v>
      </c>
      <c r="K96" s="76"/>
      <c r="L96" s="153">
        <v>7838</v>
      </c>
      <c r="M96" s="153">
        <v>8712</v>
      </c>
      <c r="N96" s="153"/>
      <c r="O96" s="76">
        <v>55667</v>
      </c>
      <c r="P96" s="76">
        <v>64433</v>
      </c>
      <c r="Q96" s="76"/>
      <c r="R96" s="133">
        <v>8.1215969119865866E-2</v>
      </c>
      <c r="S96" s="134">
        <v>0.08</v>
      </c>
      <c r="T96" s="134"/>
      <c r="U96" s="133">
        <v>0.14000000000000001</v>
      </c>
      <c r="V96" s="134">
        <v>0.14000000000000001</v>
      </c>
      <c r="W96" s="134"/>
      <c r="X96" s="37" t="str">
        <f>IF(OR(COUNTBLANK(A_Entry_Forecast[[#This Row],[REV_FY]])&lt;&gt;0,COUNTBLANK(A_Entry_Forecast[[#This Row],[REV_FY+1]])&lt;&gt;0),"N","Y")</f>
        <v>Y</v>
      </c>
      <c r="Y96" s="45"/>
      <c r="Z96" s="76"/>
      <c r="AA96" s="76"/>
      <c r="AB96" s="45"/>
      <c r="AC96" s="76"/>
      <c r="AD96" s="76"/>
      <c r="AE96" s="47">
        <f>VLOOKUP(A_Entry_Forecast[[#This Row],[Ticker]],[1]!A_Entry_Data[#Data],2,FALSE)</f>
        <v>55000</v>
      </c>
      <c r="AF96" s="141">
        <f>IF(A_Entry_Forecast[[#This Row],[Target Price]]&lt;&gt;0,A_Entry_Forecast[[#This Row],[Target Price]]/AE96-1,"")</f>
        <v>0.14010909090909096</v>
      </c>
      <c r="AH96" s="1" t="s">
        <v>90</v>
      </c>
      <c r="AI96" s="7">
        <v>394.859343137</v>
      </c>
      <c r="AJ96" s="7">
        <v>166.46653575299999</v>
      </c>
      <c r="AK96" s="7">
        <v>0</v>
      </c>
      <c r="AL96" s="7">
        <v>31890.560000000001</v>
      </c>
      <c r="AM96" s="8">
        <v>5.4899999999999997E-2</v>
      </c>
      <c r="AN96" s="8">
        <v>0.10639999999999999</v>
      </c>
    </row>
    <row r="97" spans="2:40" x14ac:dyDescent="0.2">
      <c r="B97" s="41" t="s">
        <v>159</v>
      </c>
      <c r="C97" s="43" t="s">
        <v>140</v>
      </c>
      <c r="D97" s="43" t="s">
        <v>60</v>
      </c>
      <c r="E97" s="44">
        <v>19100</v>
      </c>
      <c r="F97" s="76">
        <v>13352</v>
      </c>
      <c r="G97" s="76">
        <v>13545</v>
      </c>
      <c r="H97" s="76"/>
      <c r="I97" s="76">
        <v>1071</v>
      </c>
      <c r="J97" s="76">
        <v>1121</v>
      </c>
      <c r="K97" s="76"/>
      <c r="L97" s="76">
        <v>2119</v>
      </c>
      <c r="M97" s="76">
        <v>2207</v>
      </c>
      <c r="N97" s="76"/>
      <c r="O97" s="76">
        <v>25830</v>
      </c>
      <c r="P97" s="76">
        <v>28653</v>
      </c>
      <c r="Q97" s="76"/>
      <c r="R97" s="77">
        <v>5.8999999999999997E-2</v>
      </c>
      <c r="S97" s="78">
        <v>5.7000000000000002E-2</v>
      </c>
      <c r="T97" s="78"/>
      <c r="U97" s="77">
        <v>0.11600000000000001</v>
      </c>
      <c r="V97" s="78">
        <v>0.105</v>
      </c>
      <c r="W97" s="78"/>
      <c r="X97" s="37" t="str">
        <f>IF(OR(COUNTBLANK(A_Entry_Forecast[[#This Row],[REV_FY]])&lt;&gt;0,COUNTBLANK(A_Entry_Forecast[[#This Row],[REV_FY+1]])&lt;&gt;0),"N","Y")</f>
        <v>Y</v>
      </c>
      <c r="Y97" s="44"/>
      <c r="Z97" s="76"/>
      <c r="AA97" s="76"/>
      <c r="AB97" s="44"/>
      <c r="AC97" s="76"/>
      <c r="AD97" s="76"/>
      <c r="AE97" s="47">
        <v>18800</v>
      </c>
      <c r="AF97" s="141">
        <f>IF(A_Entry_Forecast[[#This Row],[Target Price]]&lt;&gt;0,A_Entry_Forecast[[#This Row],[Target Price]]/AE97-1,"")</f>
        <v>1.5957446808510634E-2</v>
      </c>
      <c r="AH97" s="1" t="s">
        <v>92</v>
      </c>
      <c r="AI97" s="7">
        <v>1351.024069392</v>
      </c>
      <c r="AJ97" s="7">
        <v>622.15369215999999</v>
      </c>
      <c r="AK97" s="7">
        <v>4592</v>
      </c>
      <c r="AL97" s="7">
        <v>26922.17</v>
      </c>
      <c r="AM97" s="8">
        <v>9.9599999999999994E-2</v>
      </c>
      <c r="AN97" s="8">
        <v>0.1915</v>
      </c>
    </row>
    <row r="98" spans="2:40" ht="15" x14ac:dyDescent="0.2">
      <c r="B98" s="49" t="s">
        <v>159</v>
      </c>
      <c r="C98" s="86" t="s">
        <v>163</v>
      </c>
      <c r="D98" s="51" t="s">
        <v>48</v>
      </c>
      <c r="E98" s="52">
        <v>74900</v>
      </c>
      <c r="F98" s="56">
        <v>5166</v>
      </c>
      <c r="G98" s="61">
        <v>5636</v>
      </c>
      <c r="H98" s="61"/>
      <c r="I98" s="56">
        <v>1452</v>
      </c>
      <c r="J98" s="61">
        <v>1545</v>
      </c>
      <c r="K98" s="61"/>
      <c r="L98" s="56">
        <v>3458</v>
      </c>
      <c r="M98" s="61">
        <v>3678</v>
      </c>
      <c r="N98" s="61"/>
      <c r="O98" s="56">
        <v>34618</v>
      </c>
      <c r="P98" s="56">
        <v>36923</v>
      </c>
      <c r="Q98" s="56"/>
      <c r="R98" s="57">
        <v>0.09</v>
      </c>
      <c r="S98" s="58">
        <v>0.1</v>
      </c>
      <c r="T98" s="58"/>
      <c r="U98" s="57">
        <v>0.13</v>
      </c>
      <c r="V98" s="58">
        <v>0.13</v>
      </c>
      <c r="W98" s="58"/>
      <c r="X98" s="37" t="str">
        <f>IF(OR(COUNTBLANK(A_Entry_Forecast[[#This Row],[REV_FY]])&lt;&gt;0,COUNTBLANK(A_Entry_Forecast[[#This Row],[REV_FY+1]])&lt;&gt;0),"N","Y")</f>
        <v>Y</v>
      </c>
      <c r="Y98" s="63"/>
      <c r="Z98" s="56"/>
      <c r="AA98" s="56"/>
      <c r="AB98" s="63"/>
      <c r="AC98" s="56"/>
      <c r="AD98" s="56"/>
      <c r="AE98" s="47">
        <v>58900</v>
      </c>
      <c r="AF98" s="141">
        <f>IF(A_Entry_Forecast[[#This Row],[Target Price]]&lt;&gt;0,A_Entry_Forecast[[#This Row],[Target Price]]/AE98-1,"")</f>
        <v>0.27164685908319175</v>
      </c>
      <c r="AH98" s="1" t="s">
        <v>93</v>
      </c>
      <c r="AI98" s="7">
        <v>817.94561503299997</v>
      </c>
      <c r="AJ98" s="7">
        <v>218.87329151200001</v>
      </c>
      <c r="AK98" s="7">
        <v>1621</v>
      </c>
      <c r="AL98" s="7">
        <v>14477.63</v>
      </c>
      <c r="AM98" s="8">
        <v>3.2899999999999999E-2</v>
      </c>
      <c r="AN98" s="8">
        <v>0.1338</v>
      </c>
    </row>
    <row r="99" spans="2:40" x14ac:dyDescent="0.2">
      <c r="B99" s="49" t="s">
        <v>164</v>
      </c>
      <c r="C99" s="50" t="s">
        <v>127</v>
      </c>
      <c r="D99" s="51" t="s">
        <v>48</v>
      </c>
      <c r="E99" s="52">
        <v>14300</v>
      </c>
      <c r="F99" s="125">
        <v>7189</v>
      </c>
      <c r="G99" s="125">
        <v>7631</v>
      </c>
      <c r="H99" s="125"/>
      <c r="I99" s="125">
        <v>216</v>
      </c>
      <c r="J99" s="125">
        <v>306</v>
      </c>
      <c r="K99" s="125"/>
      <c r="L99" s="125">
        <v>747</v>
      </c>
      <c r="M99" s="125">
        <v>1072</v>
      </c>
      <c r="N99" s="125"/>
      <c r="O99" s="125">
        <v>13404</v>
      </c>
      <c r="P99" s="125">
        <v>13970</v>
      </c>
      <c r="Q99" s="125"/>
      <c r="R99" s="126">
        <v>0.02</v>
      </c>
      <c r="S99" s="126">
        <v>0.03</v>
      </c>
      <c r="T99" s="126"/>
      <c r="U99" s="126">
        <v>0.04</v>
      </c>
      <c r="V99" s="126">
        <v>0.06</v>
      </c>
      <c r="W99" s="126"/>
      <c r="X99" s="69" t="str">
        <f>IF(OR(COUNTBLANK(A_Entry_Forecast[[#This Row],[REV_FY]])&lt;&gt;0,COUNTBLANK(A_Entry_Forecast[[#This Row],[REV_FY+1]])&lt;&gt;0),"N","Y")</f>
        <v>Y</v>
      </c>
      <c r="Y99" s="52"/>
      <c r="Z99" s="59"/>
      <c r="AA99" s="59"/>
      <c r="AB99" s="52"/>
      <c r="AC99" s="59"/>
      <c r="AD99" s="59"/>
      <c r="AE99" s="47">
        <f>VLOOKUP(A_Entry_Forecast[[#This Row],[Ticker]],[1]!A_Entry_Data[#Data],2,FALSE)</f>
        <v>17150</v>
      </c>
      <c r="AF99" s="141">
        <f>IF(A_Entry_Forecast[[#This Row],[Target Price]]&lt;&gt;0,A_Entry_Forecast[[#This Row],[Target Price]]/AE99-1,"")</f>
        <v>-0.16618075801749266</v>
      </c>
      <c r="AH99" s="1" t="s">
        <v>94</v>
      </c>
      <c r="AI99" s="7">
        <v>6673.4256366959999</v>
      </c>
      <c r="AJ99" s="7">
        <v>956.23866076000002</v>
      </c>
      <c r="AK99" s="7">
        <v>4695</v>
      </c>
      <c r="AL99" s="7">
        <v>19779.88</v>
      </c>
      <c r="AM99" s="8">
        <v>4.7699999999999999E-2</v>
      </c>
      <c r="AN99" s="8">
        <v>0.30309999999999998</v>
      </c>
    </row>
    <row r="100" spans="2:40" x14ac:dyDescent="0.2">
      <c r="B100" s="49" t="s">
        <v>164</v>
      </c>
      <c r="C100" s="51" t="s">
        <v>161</v>
      </c>
      <c r="D100" s="51" t="s">
        <v>48</v>
      </c>
      <c r="E100" s="61">
        <v>11500</v>
      </c>
      <c r="F100" s="125">
        <v>3219</v>
      </c>
      <c r="G100" s="125">
        <v>2292</v>
      </c>
      <c r="H100" s="125"/>
      <c r="I100" s="125">
        <v>153</v>
      </c>
      <c r="J100" s="154">
        <v>62</v>
      </c>
      <c r="K100" s="125"/>
      <c r="L100" s="125">
        <v>773</v>
      </c>
      <c r="M100" s="125">
        <v>321</v>
      </c>
      <c r="N100" s="125"/>
      <c r="O100" s="125">
        <v>13672</v>
      </c>
      <c r="P100" s="125">
        <v>13734</v>
      </c>
      <c r="Q100" s="125"/>
      <c r="R100" s="126">
        <v>0.03</v>
      </c>
      <c r="S100" s="155">
        <v>0.02</v>
      </c>
      <c r="T100" s="126"/>
      <c r="U100" s="126">
        <v>0.06</v>
      </c>
      <c r="V100" s="126">
        <v>0.02</v>
      </c>
      <c r="W100" s="126"/>
      <c r="X100" s="69" t="str">
        <f>IF(OR(COUNTBLANK(A_Entry_Forecast[[#This Row],[REV_FY]])&lt;&gt;0,COUNTBLANK(A_Entry_Forecast[[#This Row],[REV_FY+1]])&lt;&gt;0),"N","Y")</f>
        <v>Y</v>
      </c>
      <c r="Y100" s="52"/>
      <c r="Z100" s="59"/>
      <c r="AA100" s="59"/>
      <c r="AB100" s="52"/>
      <c r="AC100" s="59"/>
      <c r="AD100" s="59"/>
      <c r="AE100" s="47">
        <f>VLOOKUP(A_Entry_Forecast[[#This Row],[Ticker]],[1]!A_Entry_Data[#Data],2,FALSE)</f>
        <v>11750</v>
      </c>
      <c r="AF100" s="141">
        <f>IF(A_Entry_Forecast[[#This Row],[Target Price]]&lt;&gt;0,A_Entry_Forecast[[#This Row],[Target Price]]/AE100-1,"")</f>
        <v>-2.1276595744680882E-2</v>
      </c>
    </row>
    <row r="101" spans="2:40" x14ac:dyDescent="0.2">
      <c r="B101" s="49" t="s">
        <v>164</v>
      </c>
      <c r="C101" s="51" t="s">
        <v>158</v>
      </c>
      <c r="D101" s="51" t="s">
        <v>60</v>
      </c>
      <c r="E101" s="61">
        <v>9600</v>
      </c>
      <c r="F101" s="125">
        <v>3288</v>
      </c>
      <c r="G101" s="125">
        <v>3376</v>
      </c>
      <c r="H101" s="125"/>
      <c r="I101" s="125">
        <v>203</v>
      </c>
      <c r="J101" s="125">
        <v>209</v>
      </c>
      <c r="K101" s="125"/>
      <c r="L101" s="125">
        <v>567</v>
      </c>
      <c r="M101" s="125">
        <v>585</v>
      </c>
      <c r="N101" s="125"/>
      <c r="O101" s="125">
        <v>11543</v>
      </c>
      <c r="P101" s="125">
        <v>12126</v>
      </c>
      <c r="Q101" s="125"/>
      <c r="R101" s="126">
        <v>2.1000000000000001E-2</v>
      </c>
      <c r="S101" s="126">
        <v>2.1000000000000001E-2</v>
      </c>
      <c r="T101" s="126"/>
      <c r="U101" s="126">
        <v>0.05</v>
      </c>
      <c r="V101" s="126">
        <v>4.9000000000000002E-2</v>
      </c>
      <c r="W101" s="126"/>
      <c r="X101" s="69" t="str">
        <f>IF(OR(COUNTBLANK(A_Entry_Forecast[[#This Row],[REV_FY]])&lt;&gt;0,COUNTBLANK(A_Entry_Forecast[[#This Row],[REV_FY+1]])&lt;&gt;0),"N","Y")</f>
        <v>Y</v>
      </c>
      <c r="Y101" s="52"/>
      <c r="Z101" s="59"/>
      <c r="AA101" s="59"/>
      <c r="AB101" s="52"/>
      <c r="AC101" s="59"/>
      <c r="AD101" s="59"/>
      <c r="AE101" s="47">
        <f>VLOOKUP(A_Entry_Forecast[[#This Row],[Ticker]],[1]!A_Entry_Data[#Data],2,FALSE)</f>
        <v>9900</v>
      </c>
      <c r="AF101" s="141">
        <f>IF(A_Entry_Forecast[[#This Row],[Target Price]]&lt;&gt;0,A_Entry_Forecast[[#This Row],[Target Price]]/AE101-1,"")</f>
        <v>-3.0303030303030276E-2</v>
      </c>
      <c r="AJ101" s="7">
        <v>2023</v>
      </c>
      <c r="AK101" s="7">
        <v>2024</v>
      </c>
    </row>
    <row r="102" spans="2:40" x14ac:dyDescent="0.2">
      <c r="B102" s="156" t="s">
        <v>164</v>
      </c>
      <c r="C102" s="157" t="s">
        <v>165</v>
      </c>
      <c r="D102" s="158" t="s">
        <v>48</v>
      </c>
      <c r="E102" s="159">
        <v>15600</v>
      </c>
      <c r="F102" s="160">
        <v>3494.3677159999997</v>
      </c>
      <c r="G102" s="160">
        <v>3536.5316920400001</v>
      </c>
      <c r="H102" s="160"/>
      <c r="I102" s="160">
        <v>497.6223058279445</v>
      </c>
      <c r="J102" s="160">
        <v>675.30407130746573</v>
      </c>
      <c r="K102" s="160"/>
      <c r="L102" s="160">
        <v>1151.2225375818548</v>
      </c>
      <c r="M102" s="160">
        <v>1562.2797802772477</v>
      </c>
      <c r="N102" s="160"/>
      <c r="O102" s="160">
        <v>22518.842454042027</v>
      </c>
      <c r="P102" s="160">
        <v>24286.441771924354</v>
      </c>
      <c r="Q102" s="160"/>
      <c r="R102" s="161">
        <v>1.2850105273656324E-2</v>
      </c>
      <c r="S102" s="161">
        <v>1.7356808169752609E-2</v>
      </c>
      <c r="T102" s="161"/>
      <c r="U102" s="161">
        <v>5.1122633853465042E-2</v>
      </c>
      <c r="V102" s="161">
        <v>6.4327240480459194E-2</v>
      </c>
      <c r="W102" s="161"/>
      <c r="X102" s="69" t="str">
        <f>IF(OR(COUNTBLANK(A_Entry_Forecast[[#This Row],[REV_FY]])&lt;&gt;0,COUNTBLANK(A_Entry_Forecast[[#This Row],[REV_FY+1]])&lt;&gt;0),"N","Y")</f>
        <v>Y</v>
      </c>
      <c r="Y102" s="162"/>
      <c r="Z102" s="163"/>
      <c r="AA102" s="163"/>
      <c r="AB102" s="162"/>
      <c r="AC102" s="163"/>
      <c r="AD102" s="163"/>
      <c r="AE102" s="164">
        <f>VLOOKUP(A_Entry_Forecast[[#This Row],[Ticker]],[1]!A_Entry_Data[#Data],2,FALSE)</f>
        <v>15050</v>
      </c>
      <c r="AF102" s="141">
        <f>IF(A_Entry_Forecast[[#This Row],[Target Price]]&lt;&gt;0,A_Entry_Forecast[[#This Row],[Target Price]]/AE102-1,"")</f>
        <v>3.6544850498338777E-2</v>
      </c>
      <c r="AH102" s="1" t="s">
        <v>166</v>
      </c>
      <c r="AJ102" s="7">
        <v>872.49092456299991</v>
      </c>
      <c r="AK102" s="7" t="e">
        <f>SUM(#REF!,#REF!)</f>
        <v>#REF!</v>
      </c>
      <c r="AL102" s="165" t="e">
        <f>AK102/AJ102-1</f>
        <v>#REF!</v>
      </c>
    </row>
    <row r="103" spans="2:40" x14ac:dyDescent="0.2">
      <c r="B103" s="156" t="s">
        <v>138</v>
      </c>
      <c r="C103" s="157" t="s">
        <v>167</v>
      </c>
      <c r="D103" s="157" t="s">
        <v>48</v>
      </c>
      <c r="E103" s="166">
        <v>26100</v>
      </c>
      <c r="F103" s="167">
        <v>14635</v>
      </c>
      <c r="G103" s="168">
        <v>17020</v>
      </c>
      <c r="H103" s="168"/>
      <c r="I103" s="169">
        <v>885</v>
      </c>
      <c r="J103" s="168">
        <v>1218</v>
      </c>
      <c r="K103" s="168"/>
      <c r="L103" s="169">
        <v>1478</v>
      </c>
      <c r="M103" s="168">
        <v>2035</v>
      </c>
      <c r="N103" s="168"/>
      <c r="O103" s="169">
        <v>20023</v>
      </c>
      <c r="P103" s="168">
        <v>22022</v>
      </c>
      <c r="Q103" s="168"/>
      <c r="R103" s="170">
        <v>0.03</v>
      </c>
      <c r="S103" s="171">
        <v>0.04</v>
      </c>
      <c r="T103" s="172"/>
      <c r="U103" s="170">
        <v>7.0000000000000007E-2</v>
      </c>
      <c r="V103" s="171">
        <v>0.09</v>
      </c>
      <c r="W103" s="172"/>
      <c r="X103" s="173" t="str">
        <f>IF(OR(COUNTBLANK(A_Entry_Forecast[[#This Row],[REV_FY]])&lt;&gt;0,COUNTBLANK(A_Entry_Forecast[[#This Row],[REV_FY+1]])&lt;&gt;0),"N","Y")</f>
        <v>Y</v>
      </c>
      <c r="Y103" s="162"/>
      <c r="Z103" s="173"/>
      <c r="AA103" s="174"/>
      <c r="AB103" s="162"/>
      <c r="AC103" s="175"/>
      <c r="AD103" s="176"/>
      <c r="AE103" s="177">
        <f>VLOOKUP(A_Entry_Forecast[[#This Row],[Ticker]],[1]!A_Entry_Data[#Data],2,FALSE)</f>
        <v>26250</v>
      </c>
      <c r="AF103" s="141">
        <f>IF(A_Entry_Forecast[[#This Row],[Target Price]]&lt;&gt;0,A_Entry_Forecast[[#This Row],[Target Price]]/AE103-1,"")</f>
        <v>-5.7142857142856718E-3</v>
      </c>
    </row>
    <row r="104" spans="2:40" x14ac:dyDescent="0.2">
      <c r="B104" s="178" t="s">
        <v>97</v>
      </c>
      <c r="C104" s="51" t="s">
        <v>168</v>
      </c>
      <c r="D104" s="51" t="s">
        <v>75</v>
      </c>
      <c r="E104" s="99">
        <v>22400</v>
      </c>
      <c r="F104" s="179">
        <v>3963</v>
      </c>
      <c r="G104" s="135">
        <v>6617</v>
      </c>
      <c r="H104" s="135"/>
      <c r="I104" s="81">
        <v>997</v>
      </c>
      <c r="J104" s="135">
        <v>2358</v>
      </c>
      <c r="K104" s="135"/>
      <c r="L104" s="81">
        <v>1492</v>
      </c>
      <c r="M104" s="135">
        <v>3528</v>
      </c>
      <c r="N104" s="135"/>
      <c r="O104" s="81">
        <v>15564</v>
      </c>
      <c r="P104" s="135">
        <v>18392</v>
      </c>
      <c r="Q104" s="135"/>
      <c r="R104" s="57">
        <v>6.6000000000000003E-2</v>
      </c>
      <c r="S104" s="58">
        <v>0.12</v>
      </c>
      <c r="T104" s="78"/>
      <c r="U104" s="57">
        <v>8.2000000000000003E-2</v>
      </c>
      <c r="V104" s="58">
        <v>0.14499999999999999</v>
      </c>
      <c r="W104" s="78"/>
      <c r="X104" s="149" t="str">
        <f>IF(OR(COUNTBLANK(A_Entry_Forecast[[#This Row],[REV_FY]])&lt;&gt;0,COUNTBLANK(A_Entry_Forecast[[#This Row],[REV_FY+1]])&lt;&gt;0),"N","Y")</f>
        <v>Y</v>
      </c>
      <c r="Y104" s="52"/>
      <c r="Z104" s="149"/>
      <c r="AA104" s="83"/>
      <c r="AB104" s="52"/>
      <c r="AC104" s="180"/>
      <c r="AD104" s="181"/>
      <c r="AE104" s="177">
        <f>VLOOKUP(A_Entry_Forecast[[#This Row],[Ticker]],[1]!A_Entry_Data[#Data],2,FALSE)</f>
        <v>25350</v>
      </c>
      <c r="AF104" s="141">
        <f>IF(A_Entry_Forecast[[#This Row],[Target Price]]&lt;&gt;0,A_Entry_Forecast[[#This Row],[Target Price]]/AE104-1,"")</f>
        <v>-0.11637080867850103</v>
      </c>
    </row>
    <row r="105" spans="2:40" x14ac:dyDescent="0.2">
      <c r="I105" s="118"/>
      <c r="J105" s="182"/>
      <c r="K105" s="182"/>
    </row>
    <row r="107" spans="2:40" x14ac:dyDescent="0.2">
      <c r="J107" s="184"/>
    </row>
    <row r="108" spans="2:40" x14ac:dyDescent="0.2">
      <c r="J108" s="185"/>
      <c r="K108" s="185"/>
      <c r="X108" s="183">
        <f ca="1">COUNTIF(A_Entry_Forecast[Forecast Y/N],"Y")</f>
        <v>87</v>
      </c>
    </row>
    <row r="112" spans="2:40" x14ac:dyDescent="0.2">
      <c r="J112" s="186"/>
    </row>
  </sheetData>
  <protectedRanges>
    <protectedRange sqref="B106:AD1048576 AD94:AD102 L35:N35 B105:H105 J105:AD105 F8:G23 H8:W19 D103:AD104 X8:AF26 X27:X43 AE27:AF1048576 B8:E102 X45:X102 U20:U63 R20:R63 R65:R102 U65:U102 AD27:AD92 Y27:AC102" name="Range1"/>
    <protectedRange sqref="R64 U64" name="Range1_1"/>
  </protectedRanges>
  <conditionalFormatting sqref="D8:D90">
    <cfRule type="expression" dxfId="4" priority="4">
      <formula>OR($B8="Đoàn Minh Trí",$B8="Lâm Việt",$B8="Nguyễn Dân Trưởng",$B8="Phạm Thị Minh Châu",$B8="Trần Lâm Tùng")</formula>
    </cfRule>
  </conditionalFormatting>
  <conditionalFormatting sqref="D8:D104">
    <cfRule type="expression" dxfId="3" priority="1">
      <formula>$D8="SELL"</formula>
    </cfRule>
    <cfRule type="expression" dxfId="2" priority="2">
      <formula>$D8="BUY"</formula>
    </cfRule>
    <cfRule type="expression" dxfId="1" priority="3">
      <formula>$D8="HOLD"</formula>
    </cfRule>
  </conditionalFormatting>
  <conditionalFormatting sqref="AF8:AF104">
    <cfRule type="cellIs" dxfId="0" priority="5" operator="lessThan">
      <formula>0</formula>
    </cfRule>
    <cfRule type="colorScale" priority="6">
      <colorScale>
        <cfvo type="min"/>
        <cfvo type="max"/>
        <color rgb="FFFFEF9C"/>
        <color rgb="FF63BE7B"/>
      </colorScale>
    </cfRule>
  </conditionalFormatting>
  <dataValidations count="2">
    <dataValidation type="list" allowBlank="1" showInputMessage="1" showErrorMessage="1" sqref="D8:D104" xr:uid="{2D89A31C-3738-0B4D-B1CD-F577FCE69ABA}">
      <formula1>"BUY, HOLD, SELL, NA"</formula1>
    </dataValidation>
    <dataValidation type="list" allowBlank="1" showInputMessage="1" showErrorMessage="1" sqref="Q1" xr:uid="{DF35B312-6F9E-4542-8822-F8F83AE78C9E}">
      <formula1>"Tiếng Anh, Tiếng Việt"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Codedata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BSC</dc:creator>
  <cp:lastModifiedBy>Research BSC</cp:lastModifiedBy>
  <dcterms:created xsi:type="dcterms:W3CDTF">2025-08-28T15:31:48Z</dcterms:created>
  <dcterms:modified xsi:type="dcterms:W3CDTF">2025-08-28T16:00:25Z</dcterms:modified>
</cp:coreProperties>
</file>